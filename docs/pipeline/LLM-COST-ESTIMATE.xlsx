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st per clause" sheetId="1" state="visible" r:id="rId1"/>
    <sheet name="Chinese LLMs" sheetId="2" state="visible" r:id="rId2"/>
    <sheet name="Assumptions" sheetId="3" state="visible" r:id="rId3"/>
    <sheet name="Recommendation" sheetId="4" state="visible" r:id="rId4"/>
    <sheet name="Pricing &amp; cost per clause" sheetId="5" state="visible" r:id="rId5"/>
  </sheets>
  <definedNames>
    <definedName name="_xlnm._FilterDatabase" localSheetId="0" hidden="1">'Cost per clause'!$A$1:$F$38</definedName>
    <definedName name="_xlnm._FilterDatabase" localSheetId="4" hidden="1">'Pricing &amp; cost per clause'!$A$1:$R$38</definedName>
  </definedNames>
  <calcPr calcId="124519" fullCalcOnLoad="1"/>
</workbook>
</file>

<file path=xl/styles.xml><?xml version="1.0" encoding="utf-8"?>
<styleSheet xmlns="http://schemas.openxmlformats.org/spreadsheetml/2006/main">
  <numFmts count="5">
    <numFmt numFmtId="164" formatCode="$#,##0.000"/>
    <numFmt numFmtId="165" formatCode="$#,##0.0000"/>
    <numFmt numFmtId="166" formatCode="$#,##0.00"/>
    <numFmt numFmtId="167" formatCode="0.00x"/>
    <numFmt numFmtId="168" formatCode="$#,##0.00#"/>
  </numFmts>
  <fonts count="6">
    <font>
      <name val="Calibri"/>
      <family val="2"/>
      <color theme="1"/>
      <sz val="11"/>
      <scheme val="minor"/>
    </font>
    <font>
      <name val="Arial"/>
      <b val="1"/>
      <sz val="13"/>
    </font>
    <font>
      <name val="Arial"/>
    </font>
    <font>
      <name val="Arial"/>
      <b val="1"/>
      <color rgb="00FFFFFF"/>
    </font>
    <font>
      <name val="Arial"/>
      <color rgb="000000FF"/>
    </font>
    <font>
      <name val="Arial"/>
      <b val="1"/>
    </font>
  </fonts>
  <fills count="4">
    <fill>
      <patternFill/>
    </fill>
    <fill>
      <patternFill patternType="gray125"/>
    </fill>
    <fill>
      <patternFill patternType="solid">
        <fgColor rgb="001F3A5F"/>
      </patternFill>
    </fill>
    <fill>
      <patternFill patternType="solid">
        <fgColor rgb="00FFF9DB"/>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3">
    <xf numFmtId="0" fontId="0" fillId="0" borderId="0" pivotButton="0" quotePrefix="0" xfId="0"/>
    <xf numFmtId="0" fontId="3" fillId="2" borderId="1" applyAlignment="1" pivotButton="0" quotePrefix="0" xfId="0">
      <alignment vertical="center" wrapText="1"/>
    </xf>
    <xf numFmtId="0" fontId="2" fillId="0" borderId="1" pivotButton="0" quotePrefix="0" xfId="0"/>
    <xf numFmtId="168" fontId="2" fillId="0" borderId="1" pivotButton="0" quotePrefix="0" xfId="0"/>
    <xf numFmtId="165" fontId="5" fillId="0" borderId="1" pivotButton="0" quotePrefix="0" xfId="0"/>
    <xf numFmtId="0" fontId="2"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2" fillId="0" borderId="1" applyAlignment="1" pivotButton="0" quotePrefix="0" xfId="0">
      <alignment vertical="top" wrapText="1"/>
    </xf>
    <xf numFmtId="168" fontId="2" fillId="0" borderId="1" applyAlignment="1" pivotButton="0" quotePrefix="0" xfId="0">
      <alignment vertical="top" wrapText="1"/>
    </xf>
    <xf numFmtId="165" fontId="5" fillId="0" borderId="1" applyAlignment="1" pivotButton="0" quotePrefix="0" xfId="0">
      <alignment vertical="top" wrapText="1"/>
    </xf>
    <xf numFmtId="3" fontId="4" fillId="3" borderId="1" pivotButton="0" quotePrefix="0" xfId="0"/>
    <xf numFmtId="3" fontId="2" fillId="3" borderId="1" pivotButton="0" quotePrefix="0" xfId="0"/>
    <xf numFmtId="0" fontId="5" fillId="0" borderId="0" pivotButton="0" quotePrefix="0" xfId="0"/>
    <xf numFmtId="3" fontId="4" fillId="3" borderId="0" pivotButton="0" quotePrefix="0" xfId="0"/>
    <xf numFmtId="0" fontId="5" fillId="0" borderId="0" applyAlignment="1" pivotButton="0" quotePrefix="0" xfId="0">
      <alignment vertical="top" wrapText="1"/>
    </xf>
    <xf numFmtId="165" fontId="2" fillId="0" borderId="1" applyAlignment="1" pivotButton="0" quotePrefix="0" xfId="0">
      <alignment vertical="top" wrapText="1"/>
    </xf>
    <xf numFmtId="164" fontId="4" fillId="3" borderId="1" pivotButton="0" quotePrefix="0" xfId="0"/>
    <xf numFmtId="2" fontId="4" fillId="3" borderId="1" pivotButton="0" quotePrefix="0" xfId="0"/>
    <xf numFmtId="165" fontId="2" fillId="0" borderId="1" pivotButton="0" quotePrefix="0" xfId="0"/>
    <xf numFmtId="166" fontId="2" fillId="0" borderId="1" pivotButton="0" quotePrefix="0" xfId="0"/>
    <xf numFmtId="167"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20" customWidth="1" min="5" max="5"/>
    <col width="14" customWidth="1" min="6" max="6"/>
  </cols>
  <sheetData>
    <row r="1" ht="32" customHeight="1">
      <c r="A1" s="1" t="inlineStr">
        <is>
          <t>Provider</t>
        </is>
      </c>
      <c r="B1" s="1" t="inlineStr">
        <is>
          <t>LLM</t>
        </is>
      </c>
      <c r="C1" s="1" t="inlineStr">
        <is>
          <t>Input cost per 1M tokens</t>
        </is>
      </c>
      <c r="D1" s="1" t="inlineStr">
        <is>
          <t>Output cost per 1M tokens</t>
        </is>
      </c>
      <c r="E1" s="1" t="inlineStr">
        <is>
          <t>Cost per clause (typical)</t>
        </is>
      </c>
      <c r="F1" s="1" t="inlineStr">
        <is>
          <t>Category</t>
        </is>
      </c>
    </row>
    <row r="2">
      <c r="A2" s="2">
        <f>'Pricing &amp; cost per clause'!A2</f>
        <v/>
      </c>
      <c r="B2" s="2">
        <f>'Pricing &amp; cost per clause'!B2</f>
        <v/>
      </c>
      <c r="C2" s="3">
        <f>'Pricing &amp; cost per clause'!D2</f>
        <v/>
      </c>
      <c r="D2" s="3">
        <f>'Pricing &amp; cost per clause'!F2</f>
        <v/>
      </c>
      <c r="E2" s="4">
        <f>'Pricing &amp; cost per clause'!I2</f>
        <v/>
      </c>
      <c r="F2" s="2" t="inlineStr">
        <is>
          <t>-</t>
        </is>
      </c>
    </row>
    <row r="3">
      <c r="A3" s="2">
        <f>'Pricing &amp; cost per clause'!A3</f>
        <v/>
      </c>
      <c r="B3" s="2">
        <f>'Pricing &amp; cost per clause'!B3</f>
        <v/>
      </c>
      <c r="C3" s="3">
        <f>'Pricing &amp; cost per clause'!D3</f>
        <v/>
      </c>
      <c r="D3" s="3">
        <f>'Pricing &amp; cost per clause'!F3</f>
        <v/>
      </c>
      <c r="E3" s="4">
        <f>'Pricing &amp; cost per clause'!I3</f>
        <v/>
      </c>
      <c r="F3" s="2" t="inlineStr">
        <is>
          <t>Chinese LLM</t>
        </is>
      </c>
    </row>
    <row r="4">
      <c r="A4" s="2">
        <f>'Pricing &amp; cost per clause'!A4</f>
        <v/>
      </c>
      <c r="B4" s="2">
        <f>'Pricing &amp; cost per clause'!B4</f>
        <v/>
      </c>
      <c r="C4" s="3">
        <f>'Pricing &amp; cost per clause'!D4</f>
        <v/>
      </c>
      <c r="D4" s="3">
        <f>'Pricing &amp; cost per clause'!F4</f>
        <v/>
      </c>
      <c r="E4" s="4">
        <f>'Pricing &amp; cost per clause'!I4</f>
        <v/>
      </c>
      <c r="F4" s="2" t="inlineStr">
        <is>
          <t>-</t>
        </is>
      </c>
    </row>
    <row r="5">
      <c r="A5" s="2">
        <f>'Pricing &amp; cost per clause'!A5</f>
        <v/>
      </c>
      <c r="B5" s="2">
        <f>'Pricing &amp; cost per clause'!B5</f>
        <v/>
      </c>
      <c r="C5" s="3">
        <f>'Pricing &amp; cost per clause'!D5</f>
        <v/>
      </c>
      <c r="D5" s="3">
        <f>'Pricing &amp; cost per clause'!F5</f>
        <v/>
      </c>
      <c r="E5" s="4">
        <f>'Pricing &amp; cost per clause'!I5</f>
        <v/>
      </c>
      <c r="F5" s="2" t="inlineStr">
        <is>
          <t>Chinese LLM</t>
        </is>
      </c>
    </row>
    <row r="6">
      <c r="A6" s="2">
        <f>'Pricing &amp; cost per clause'!A6</f>
        <v/>
      </c>
      <c r="B6" s="2">
        <f>'Pricing &amp; cost per clause'!B6</f>
        <v/>
      </c>
      <c r="C6" s="3">
        <f>'Pricing &amp; cost per clause'!D6</f>
        <v/>
      </c>
      <c r="D6" s="3">
        <f>'Pricing &amp; cost per clause'!F6</f>
        <v/>
      </c>
      <c r="E6" s="4">
        <f>'Pricing &amp; cost per clause'!I6</f>
        <v/>
      </c>
      <c r="F6" s="2" t="inlineStr">
        <is>
          <t>-</t>
        </is>
      </c>
    </row>
    <row r="7">
      <c r="A7" s="2">
        <f>'Pricing &amp; cost per clause'!A7</f>
        <v/>
      </c>
      <c r="B7" s="2">
        <f>'Pricing &amp; cost per clause'!B7</f>
        <v/>
      </c>
      <c r="C7" s="3">
        <f>'Pricing &amp; cost per clause'!D7</f>
        <v/>
      </c>
      <c r="D7" s="3">
        <f>'Pricing &amp; cost per clause'!F7</f>
        <v/>
      </c>
      <c r="E7" s="4">
        <f>'Pricing &amp; cost per clause'!I7</f>
        <v/>
      </c>
      <c r="F7" s="2" t="inlineStr">
        <is>
          <t>Chinese LLM</t>
        </is>
      </c>
    </row>
    <row r="8">
      <c r="A8" s="2">
        <f>'Pricing &amp; cost per clause'!A8</f>
        <v/>
      </c>
      <c r="B8" s="2">
        <f>'Pricing &amp; cost per clause'!B8</f>
        <v/>
      </c>
      <c r="C8" s="3">
        <f>'Pricing &amp; cost per clause'!D8</f>
        <v/>
      </c>
      <c r="D8" s="3">
        <f>'Pricing &amp; cost per clause'!F8</f>
        <v/>
      </c>
      <c r="E8" s="4">
        <f>'Pricing &amp; cost per clause'!I8</f>
        <v/>
      </c>
      <c r="F8" s="2" t="inlineStr">
        <is>
          <t>-</t>
        </is>
      </c>
    </row>
    <row r="9">
      <c r="A9" s="2">
        <f>'Pricing &amp; cost per clause'!A9</f>
        <v/>
      </c>
      <c r="B9" s="2">
        <f>'Pricing &amp; cost per clause'!B9</f>
        <v/>
      </c>
      <c r="C9" s="3">
        <f>'Pricing &amp; cost per clause'!D9</f>
        <v/>
      </c>
      <c r="D9" s="3">
        <f>'Pricing &amp; cost per clause'!F9</f>
        <v/>
      </c>
      <c r="E9" s="4">
        <f>'Pricing &amp; cost per clause'!I9</f>
        <v/>
      </c>
      <c r="F9" s="2" t="inlineStr">
        <is>
          <t>-</t>
        </is>
      </c>
    </row>
    <row r="10">
      <c r="A10" s="2">
        <f>'Pricing &amp; cost per clause'!A10</f>
        <v/>
      </c>
      <c r="B10" s="2">
        <f>'Pricing &amp; cost per clause'!B10</f>
        <v/>
      </c>
      <c r="C10" s="3">
        <f>'Pricing &amp; cost per clause'!D10</f>
        <v/>
      </c>
      <c r="D10" s="3">
        <f>'Pricing &amp; cost per clause'!F10</f>
        <v/>
      </c>
      <c r="E10" s="4">
        <f>'Pricing &amp; cost per clause'!I10</f>
        <v/>
      </c>
      <c r="F10" s="2" t="inlineStr">
        <is>
          <t>-</t>
        </is>
      </c>
    </row>
    <row r="11">
      <c r="A11" s="2">
        <f>'Pricing &amp; cost per clause'!A11</f>
        <v/>
      </c>
      <c r="B11" s="2">
        <f>'Pricing &amp; cost per clause'!B11</f>
        <v/>
      </c>
      <c r="C11" s="3">
        <f>'Pricing &amp; cost per clause'!D11</f>
        <v/>
      </c>
      <c r="D11" s="3">
        <f>'Pricing &amp; cost per clause'!F11</f>
        <v/>
      </c>
      <c r="E11" s="4">
        <f>'Pricing &amp; cost per clause'!I11</f>
        <v/>
      </c>
      <c r="F11" s="2" t="inlineStr">
        <is>
          <t>Chinese LLM</t>
        </is>
      </c>
    </row>
    <row r="12">
      <c r="A12" s="2">
        <f>'Pricing &amp; cost per clause'!A12</f>
        <v/>
      </c>
      <c r="B12" s="2">
        <f>'Pricing &amp; cost per clause'!B12</f>
        <v/>
      </c>
      <c r="C12" s="3">
        <f>'Pricing &amp; cost per clause'!D12</f>
        <v/>
      </c>
      <c r="D12" s="3">
        <f>'Pricing &amp; cost per clause'!F12</f>
        <v/>
      </c>
      <c r="E12" s="4">
        <f>'Pricing &amp; cost per clause'!I12</f>
        <v/>
      </c>
      <c r="F12" s="2" t="inlineStr">
        <is>
          <t>Chinese LLM</t>
        </is>
      </c>
    </row>
    <row r="13">
      <c r="A13" s="2">
        <f>'Pricing &amp; cost per clause'!A13</f>
        <v/>
      </c>
      <c r="B13" s="2">
        <f>'Pricing &amp; cost per clause'!B13</f>
        <v/>
      </c>
      <c r="C13" s="3">
        <f>'Pricing &amp; cost per clause'!D13</f>
        <v/>
      </c>
      <c r="D13" s="3">
        <f>'Pricing &amp; cost per clause'!F13</f>
        <v/>
      </c>
      <c r="E13" s="4">
        <f>'Pricing &amp; cost per clause'!I13</f>
        <v/>
      </c>
      <c r="F13" s="2" t="inlineStr">
        <is>
          <t>Chinese LLM</t>
        </is>
      </c>
    </row>
    <row r="14">
      <c r="A14" s="2">
        <f>'Pricing &amp; cost per clause'!A14</f>
        <v/>
      </c>
      <c r="B14" s="2">
        <f>'Pricing &amp; cost per clause'!B14</f>
        <v/>
      </c>
      <c r="C14" s="3">
        <f>'Pricing &amp; cost per clause'!D14</f>
        <v/>
      </c>
      <c r="D14" s="3">
        <f>'Pricing &amp; cost per clause'!F14</f>
        <v/>
      </c>
      <c r="E14" s="4">
        <f>'Pricing &amp; cost per clause'!I14</f>
        <v/>
      </c>
      <c r="F14" s="2" t="inlineStr">
        <is>
          <t>-</t>
        </is>
      </c>
    </row>
    <row r="15">
      <c r="A15" s="2">
        <f>'Pricing &amp; cost per clause'!A15</f>
        <v/>
      </c>
      <c r="B15" s="2">
        <f>'Pricing &amp; cost per clause'!B15</f>
        <v/>
      </c>
      <c r="C15" s="3">
        <f>'Pricing &amp; cost per clause'!D15</f>
        <v/>
      </c>
      <c r="D15" s="3">
        <f>'Pricing &amp; cost per clause'!F15</f>
        <v/>
      </c>
      <c r="E15" s="4">
        <f>'Pricing &amp; cost per clause'!I15</f>
        <v/>
      </c>
      <c r="F15" s="2" t="inlineStr">
        <is>
          <t>-</t>
        </is>
      </c>
    </row>
    <row r="16">
      <c r="A16" s="2">
        <f>'Pricing &amp; cost per clause'!A16</f>
        <v/>
      </c>
      <c r="B16" s="2">
        <f>'Pricing &amp; cost per clause'!B16</f>
        <v/>
      </c>
      <c r="C16" s="3">
        <f>'Pricing &amp; cost per clause'!D16</f>
        <v/>
      </c>
      <c r="D16" s="3">
        <f>'Pricing &amp; cost per clause'!F16</f>
        <v/>
      </c>
      <c r="E16" s="4">
        <f>'Pricing &amp; cost per clause'!I16</f>
        <v/>
      </c>
      <c r="F16" s="2" t="inlineStr">
        <is>
          <t>Chinese LLM</t>
        </is>
      </c>
    </row>
    <row r="17">
      <c r="A17" s="2">
        <f>'Pricing &amp; cost per clause'!A17</f>
        <v/>
      </c>
      <c r="B17" s="2">
        <f>'Pricing &amp; cost per clause'!B17</f>
        <v/>
      </c>
      <c r="C17" s="3">
        <f>'Pricing &amp; cost per clause'!D17</f>
        <v/>
      </c>
      <c r="D17" s="3">
        <f>'Pricing &amp; cost per clause'!F17</f>
        <v/>
      </c>
      <c r="E17" s="4">
        <f>'Pricing &amp; cost per clause'!I17</f>
        <v/>
      </c>
      <c r="F17" s="2" t="inlineStr">
        <is>
          <t>Chinese LLM</t>
        </is>
      </c>
    </row>
    <row r="18">
      <c r="A18" s="2">
        <f>'Pricing &amp; cost per clause'!A18</f>
        <v/>
      </c>
      <c r="B18" s="2">
        <f>'Pricing &amp; cost per clause'!B18</f>
        <v/>
      </c>
      <c r="C18" s="3">
        <f>'Pricing &amp; cost per clause'!D18</f>
        <v/>
      </c>
      <c r="D18" s="3">
        <f>'Pricing &amp; cost per clause'!F18</f>
        <v/>
      </c>
      <c r="E18" s="4">
        <f>'Pricing &amp; cost per clause'!I18</f>
        <v/>
      </c>
      <c r="F18" s="2" t="inlineStr">
        <is>
          <t>-</t>
        </is>
      </c>
    </row>
    <row r="19">
      <c r="A19" s="2">
        <f>'Pricing &amp; cost per clause'!A19</f>
        <v/>
      </c>
      <c r="B19" s="2">
        <f>'Pricing &amp; cost per clause'!B19</f>
        <v/>
      </c>
      <c r="C19" s="3">
        <f>'Pricing &amp; cost per clause'!D19</f>
        <v/>
      </c>
      <c r="D19" s="3">
        <f>'Pricing &amp; cost per clause'!F19</f>
        <v/>
      </c>
      <c r="E19" s="4">
        <f>'Pricing &amp; cost per clause'!I19</f>
        <v/>
      </c>
      <c r="F19" s="2" t="inlineStr">
        <is>
          <t>-</t>
        </is>
      </c>
    </row>
    <row r="20">
      <c r="A20" s="2">
        <f>'Pricing &amp; cost per clause'!A20</f>
        <v/>
      </c>
      <c r="B20" s="2">
        <f>'Pricing &amp; cost per clause'!B20</f>
        <v/>
      </c>
      <c r="C20" s="3">
        <f>'Pricing &amp; cost per clause'!D20</f>
        <v/>
      </c>
      <c r="D20" s="3">
        <f>'Pricing &amp; cost per clause'!F20</f>
        <v/>
      </c>
      <c r="E20" s="4">
        <f>'Pricing &amp; cost per clause'!I20</f>
        <v/>
      </c>
      <c r="F20" s="2" t="inlineStr">
        <is>
          <t>Chinese LLM</t>
        </is>
      </c>
    </row>
    <row r="21">
      <c r="A21" s="2">
        <f>'Pricing &amp; cost per clause'!A21</f>
        <v/>
      </c>
      <c r="B21" s="2">
        <f>'Pricing &amp; cost per clause'!B21</f>
        <v/>
      </c>
      <c r="C21" s="3">
        <f>'Pricing &amp; cost per clause'!D21</f>
        <v/>
      </c>
      <c r="D21" s="3">
        <f>'Pricing &amp; cost per clause'!F21</f>
        <v/>
      </c>
      <c r="E21" s="4">
        <f>'Pricing &amp; cost per clause'!I21</f>
        <v/>
      </c>
      <c r="F21" s="2" t="inlineStr">
        <is>
          <t>-</t>
        </is>
      </c>
    </row>
    <row r="22">
      <c r="A22" s="2">
        <f>'Pricing &amp; cost per clause'!A22</f>
        <v/>
      </c>
      <c r="B22" s="2">
        <f>'Pricing &amp; cost per clause'!B22</f>
        <v/>
      </c>
      <c r="C22" s="3">
        <f>'Pricing &amp; cost per clause'!D22</f>
        <v/>
      </c>
      <c r="D22" s="3">
        <f>'Pricing &amp; cost per clause'!F22</f>
        <v/>
      </c>
      <c r="E22" s="4">
        <f>'Pricing &amp; cost per clause'!I22</f>
        <v/>
      </c>
      <c r="F22" s="2" t="inlineStr">
        <is>
          <t>-</t>
        </is>
      </c>
    </row>
    <row r="23">
      <c r="A23" s="2">
        <f>'Pricing &amp; cost per clause'!A23</f>
        <v/>
      </c>
      <c r="B23" s="2">
        <f>'Pricing &amp; cost per clause'!B23</f>
        <v/>
      </c>
      <c r="C23" s="3">
        <f>'Pricing &amp; cost per clause'!D23</f>
        <v/>
      </c>
      <c r="D23" s="3">
        <f>'Pricing &amp; cost per clause'!F23</f>
        <v/>
      </c>
      <c r="E23" s="4">
        <f>'Pricing &amp; cost per clause'!I23</f>
        <v/>
      </c>
      <c r="F23" s="2" t="inlineStr">
        <is>
          <t>-</t>
        </is>
      </c>
    </row>
    <row r="24">
      <c r="A24" s="2">
        <f>'Pricing &amp; cost per clause'!A24</f>
        <v/>
      </c>
      <c r="B24" s="2">
        <f>'Pricing &amp; cost per clause'!B24</f>
        <v/>
      </c>
      <c r="C24" s="3">
        <f>'Pricing &amp; cost per clause'!D24</f>
        <v/>
      </c>
      <c r="D24" s="3">
        <f>'Pricing &amp; cost per clause'!F24</f>
        <v/>
      </c>
      <c r="E24" s="4">
        <f>'Pricing &amp; cost per clause'!I24</f>
        <v/>
      </c>
      <c r="F24" s="2" t="inlineStr">
        <is>
          <t>-</t>
        </is>
      </c>
    </row>
    <row r="25">
      <c r="A25" s="2">
        <f>'Pricing &amp; cost per clause'!A25</f>
        <v/>
      </c>
      <c r="B25" s="2">
        <f>'Pricing &amp; cost per clause'!B25</f>
        <v/>
      </c>
      <c r="C25" s="3">
        <f>'Pricing &amp; cost per clause'!D25</f>
        <v/>
      </c>
      <c r="D25" s="3">
        <f>'Pricing &amp; cost per clause'!F25</f>
        <v/>
      </c>
      <c r="E25" s="4">
        <f>'Pricing &amp; cost per clause'!I25</f>
        <v/>
      </c>
      <c r="F25" s="2" t="inlineStr">
        <is>
          <t>-</t>
        </is>
      </c>
    </row>
    <row r="26">
      <c r="A26" s="2">
        <f>'Pricing &amp; cost per clause'!A26</f>
        <v/>
      </c>
      <c r="B26" s="2">
        <f>'Pricing &amp; cost per clause'!B26</f>
        <v/>
      </c>
      <c r="C26" s="3">
        <f>'Pricing &amp; cost per clause'!D26</f>
        <v/>
      </c>
      <c r="D26" s="3">
        <f>'Pricing &amp; cost per clause'!F26</f>
        <v/>
      </c>
      <c r="E26" s="4">
        <f>'Pricing &amp; cost per clause'!I26</f>
        <v/>
      </c>
      <c r="F26" s="2" t="inlineStr">
        <is>
          <t>Chinese LLM</t>
        </is>
      </c>
    </row>
    <row r="27">
      <c r="A27" s="2">
        <f>'Pricing &amp; cost per clause'!A27</f>
        <v/>
      </c>
      <c r="B27" s="2">
        <f>'Pricing &amp; cost per clause'!B27</f>
        <v/>
      </c>
      <c r="C27" s="3">
        <f>'Pricing &amp; cost per clause'!D27</f>
        <v/>
      </c>
      <c r="D27" s="3">
        <f>'Pricing &amp; cost per clause'!F27</f>
        <v/>
      </c>
      <c r="E27" s="4">
        <f>'Pricing &amp; cost per clause'!I27</f>
        <v/>
      </c>
      <c r="F27" s="2" t="inlineStr">
        <is>
          <t>-</t>
        </is>
      </c>
    </row>
    <row r="28">
      <c r="A28" s="2">
        <f>'Pricing &amp; cost per clause'!A28</f>
        <v/>
      </c>
      <c r="B28" s="2">
        <f>'Pricing &amp; cost per clause'!B28</f>
        <v/>
      </c>
      <c r="C28" s="3">
        <f>'Pricing &amp; cost per clause'!D28</f>
        <v/>
      </c>
      <c r="D28" s="3">
        <f>'Pricing &amp; cost per clause'!F28</f>
        <v/>
      </c>
      <c r="E28" s="4">
        <f>'Pricing &amp; cost per clause'!I28</f>
        <v/>
      </c>
      <c r="F28" s="2" t="inlineStr">
        <is>
          <t>-</t>
        </is>
      </c>
    </row>
    <row r="29">
      <c r="A29" s="2">
        <f>'Pricing &amp; cost per clause'!A29</f>
        <v/>
      </c>
      <c r="B29" s="2">
        <f>'Pricing &amp; cost per clause'!B29</f>
        <v/>
      </c>
      <c r="C29" s="3">
        <f>'Pricing &amp; cost per clause'!D29</f>
        <v/>
      </c>
      <c r="D29" s="3">
        <f>'Pricing &amp; cost per clause'!F29</f>
        <v/>
      </c>
      <c r="E29" s="4">
        <f>'Pricing &amp; cost per clause'!I29</f>
        <v/>
      </c>
      <c r="F29" s="2" t="inlineStr">
        <is>
          <t>-</t>
        </is>
      </c>
    </row>
    <row r="30">
      <c r="A30" s="2">
        <f>'Pricing &amp; cost per clause'!A30</f>
        <v/>
      </c>
      <c r="B30" s="2">
        <f>'Pricing &amp; cost per clause'!B30</f>
        <v/>
      </c>
      <c r="C30" s="3">
        <f>'Pricing &amp; cost per clause'!D30</f>
        <v/>
      </c>
      <c r="D30" s="3">
        <f>'Pricing &amp; cost per clause'!F30</f>
        <v/>
      </c>
      <c r="E30" s="4">
        <f>'Pricing &amp; cost per clause'!I30</f>
        <v/>
      </c>
      <c r="F30" s="2" t="inlineStr">
        <is>
          <t>-</t>
        </is>
      </c>
    </row>
    <row r="31">
      <c r="A31" s="2">
        <f>'Pricing &amp; cost per clause'!A31</f>
        <v/>
      </c>
      <c r="B31" s="2">
        <f>'Pricing &amp; cost per clause'!B31</f>
        <v/>
      </c>
      <c r="C31" s="3">
        <f>'Pricing &amp; cost per clause'!D31</f>
        <v/>
      </c>
      <c r="D31" s="3">
        <f>'Pricing &amp; cost per clause'!F31</f>
        <v/>
      </c>
      <c r="E31" s="4">
        <f>'Pricing &amp; cost per clause'!I31</f>
        <v/>
      </c>
      <c r="F31" s="2" t="inlineStr">
        <is>
          <t>-</t>
        </is>
      </c>
    </row>
    <row r="32">
      <c r="A32" s="2">
        <f>'Pricing &amp; cost per clause'!A32</f>
        <v/>
      </c>
      <c r="B32" s="2">
        <f>'Pricing &amp; cost per clause'!B32</f>
        <v/>
      </c>
      <c r="C32" s="3">
        <f>'Pricing &amp; cost per clause'!D32</f>
        <v/>
      </c>
      <c r="D32" s="3">
        <f>'Pricing &amp; cost per clause'!F32</f>
        <v/>
      </c>
      <c r="E32" s="4">
        <f>'Pricing &amp; cost per clause'!I32</f>
        <v/>
      </c>
      <c r="F32" s="2" t="inlineStr">
        <is>
          <t>-</t>
        </is>
      </c>
    </row>
    <row r="33">
      <c r="A33" s="2">
        <f>'Pricing &amp; cost per clause'!A33</f>
        <v/>
      </c>
      <c r="B33" s="2">
        <f>'Pricing &amp; cost per clause'!B33</f>
        <v/>
      </c>
      <c r="C33" s="3">
        <f>'Pricing &amp; cost per clause'!D33</f>
        <v/>
      </c>
      <c r="D33" s="3">
        <f>'Pricing &amp; cost per clause'!F33</f>
        <v/>
      </c>
      <c r="E33" s="4">
        <f>'Pricing &amp; cost per clause'!I33</f>
        <v/>
      </c>
      <c r="F33" s="2" t="inlineStr">
        <is>
          <t>Chinese LLM</t>
        </is>
      </c>
    </row>
    <row r="34">
      <c r="A34" s="2">
        <f>'Pricing &amp; cost per clause'!A34</f>
        <v/>
      </c>
      <c r="B34" s="2">
        <f>'Pricing &amp; cost per clause'!B34</f>
        <v/>
      </c>
      <c r="C34" s="3">
        <f>'Pricing &amp; cost per clause'!D34</f>
        <v/>
      </c>
      <c r="D34" s="3">
        <f>'Pricing &amp; cost per clause'!F34</f>
        <v/>
      </c>
      <c r="E34" s="4">
        <f>'Pricing &amp; cost per clause'!I34</f>
        <v/>
      </c>
      <c r="F34" s="2" t="inlineStr">
        <is>
          <t>-</t>
        </is>
      </c>
    </row>
    <row r="35">
      <c r="A35" s="2">
        <f>'Pricing &amp; cost per clause'!A35</f>
        <v/>
      </c>
      <c r="B35" s="2">
        <f>'Pricing &amp; cost per clause'!B35</f>
        <v/>
      </c>
      <c r="C35" s="3">
        <f>'Pricing &amp; cost per clause'!D35</f>
        <v/>
      </c>
      <c r="D35" s="3">
        <f>'Pricing &amp; cost per clause'!F35</f>
        <v/>
      </c>
      <c r="E35" s="4">
        <f>'Pricing &amp; cost per clause'!I35</f>
        <v/>
      </c>
      <c r="F35" s="2" t="inlineStr">
        <is>
          <t>-</t>
        </is>
      </c>
    </row>
    <row r="36">
      <c r="A36" s="2">
        <f>'Pricing &amp; cost per clause'!A36</f>
        <v/>
      </c>
      <c r="B36" s="2">
        <f>'Pricing &amp; cost per clause'!B36</f>
        <v/>
      </c>
      <c r="C36" s="3">
        <f>'Pricing &amp; cost per clause'!D36</f>
        <v/>
      </c>
      <c r="D36" s="3">
        <f>'Pricing &amp; cost per clause'!F36</f>
        <v/>
      </c>
      <c r="E36" s="4">
        <f>'Pricing &amp; cost per clause'!I36</f>
        <v/>
      </c>
      <c r="F36" s="2" t="inlineStr">
        <is>
          <t>-</t>
        </is>
      </c>
    </row>
    <row r="37">
      <c r="A37" s="2">
        <f>'Pricing &amp; cost per clause'!A37</f>
        <v/>
      </c>
      <c r="B37" s="2">
        <f>'Pricing &amp; cost per clause'!B37</f>
        <v/>
      </c>
      <c r="C37" s="3">
        <f>'Pricing &amp; cost per clause'!D37</f>
        <v/>
      </c>
      <c r="D37" s="3">
        <f>'Pricing &amp; cost per clause'!F37</f>
        <v/>
      </c>
      <c r="E37" s="4">
        <f>'Pricing &amp; cost per clause'!I37</f>
        <v/>
      </c>
      <c r="F37" s="2" t="inlineStr">
        <is>
          <t>-</t>
        </is>
      </c>
    </row>
    <row r="38">
      <c r="A38" s="2">
        <f>'Pricing &amp; cost per clause'!A38</f>
        <v/>
      </c>
      <c r="B38" s="2">
        <f>'Pricing &amp; cost per clause'!B38</f>
        <v/>
      </c>
      <c r="C38" s="3">
        <f>'Pricing &amp; cost per clause'!D38</f>
        <v/>
      </c>
      <c r="D38" s="3">
        <f>'Pricing &amp; cost per clause'!F38</f>
        <v/>
      </c>
      <c r="E38" s="4">
        <f>'Pricing &amp; cost per clause'!I38</f>
        <v/>
      </c>
      <c r="F38" s="2" t="inlineStr">
        <is>
          <t>-</t>
        </is>
      </c>
    </row>
    <row r="40">
      <c r="A40" s="5" t="inlineStr">
        <is>
          <t>Typical clause = 11,541 input + 1,310 output tokens (average of 3 real logged calls). Edit tokens and prices in the other sheets.</t>
        </is>
      </c>
    </row>
    <row r="41">
      <c r="A41" s="5" t="inlineStr">
        <is>
          <t>Use the Category filter (column F header) to show only Chinese LLM rows, or open the dedicated 'Chinese LLMs' sheet.</t>
        </is>
      </c>
    </row>
  </sheetData>
  <autoFilter ref="A1:F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14" customWidth="1" min="1" max="1"/>
    <col width="26" customWidth="1" min="2" max="2"/>
    <col width="12" customWidth="1" min="3" max="3"/>
    <col width="12" customWidth="1" min="4" max="4"/>
    <col width="16" customWidth="1" min="5" max="5"/>
    <col width="56" customWidth="1" min="6" max="6"/>
  </cols>
  <sheetData>
    <row r="1">
      <c r="A1" s="6" t="inlineStr">
        <is>
          <t>Chinese LLM providers - cost per clause</t>
        </is>
      </c>
    </row>
    <row r="2" ht="48" customHeight="1">
      <c r="A2" s="7" t="inlineStr">
        <is>
          <t>DeepSeek, Moonshot (Kimi) and Zhipu AI (GLM) are Chinese labs; Alibaba (Qwen) is Chinese too. None of these are wired into the app yet except Moonshot, whose account currently has no balance. Data for all of these is processed on China-hosted infrastructure - confirm the client's data policy before using one on real documents.</t>
        </is>
      </c>
    </row>
    <row r="4">
      <c r="A4" s="8" t="inlineStr">
        <is>
          <t>Provider</t>
        </is>
      </c>
      <c r="B4" s="8" t="inlineStr">
        <is>
          <t>LLM</t>
        </is>
      </c>
      <c r="C4" s="8" t="inlineStr">
        <is>
          <t>Input $/1M</t>
        </is>
      </c>
      <c r="D4" s="8" t="inlineStr">
        <is>
          <t>Output $/1M</t>
        </is>
      </c>
      <c r="E4" s="8" t="inlineStr">
        <is>
          <t>Cost per clause</t>
        </is>
      </c>
      <c r="F4" s="8" t="inlineStr">
        <is>
          <t>Why</t>
        </is>
      </c>
    </row>
    <row r="5">
      <c r="A5" s="9" t="inlineStr">
        <is>
          <t>Zhipu AI</t>
        </is>
      </c>
      <c r="B5" s="9">
        <f>'Pricing &amp; cost per clause'!B11</f>
        <v/>
      </c>
      <c r="C5" s="10">
        <f>'Pricing &amp; cost per clause'!D11</f>
        <v/>
      </c>
      <c r="D5" s="10">
        <f>'Pricing &amp; cost per clause'!F11</f>
        <v/>
      </c>
      <c r="E5" s="11">
        <f>'Pricing &amp; cost per clause'!I11</f>
        <v/>
      </c>
      <c r="F5" s="9" t="inlineStr">
        <is>
          <t>Cheapest of the three main Chinese labs; OpenAI-compatible API.</t>
        </is>
      </c>
    </row>
    <row r="6">
      <c r="A6" s="9" t="inlineStr">
        <is>
          <t>Alibaba</t>
        </is>
      </c>
      <c r="B6" s="9">
        <f>'Pricing &amp; cost per clause'!B3</f>
        <v/>
      </c>
      <c r="C6" s="10">
        <f>'Pricing &amp; cost per clause'!D3</f>
        <v/>
      </c>
      <c r="D6" s="10">
        <f>'Pricing &amp; cost per clause'!F3</f>
        <v/>
      </c>
      <c r="E6" s="11">
        <f>'Pricing &amp; cost per clause'!I3</f>
        <v/>
      </c>
      <c r="F6" s="9" t="inlineStr">
        <is>
          <t>Very cheap but a lighter model.</t>
        </is>
      </c>
    </row>
    <row r="7">
      <c r="A7" s="9" t="inlineStr">
        <is>
          <t>Alibaba</t>
        </is>
      </c>
      <c r="B7" s="9">
        <f>'Pricing &amp; cost per clause'!B12</f>
        <v/>
      </c>
      <c r="C7" s="10">
        <f>'Pricing &amp; cost per clause'!D12</f>
        <v/>
      </c>
      <c r="D7" s="10">
        <f>'Pricing &amp; cost per clause'!F12</f>
        <v/>
      </c>
      <c r="E7" s="11">
        <f>'Pricing &amp; cost per clause'!I12</f>
        <v/>
      </c>
      <c r="F7" s="9" t="inlineStr">
        <is>
          <t>Similar price to GLM-4.6.</t>
        </is>
      </c>
    </row>
    <row r="8">
      <c r="A8" s="9" t="inlineStr">
        <is>
          <t>DeepSeek</t>
        </is>
      </c>
      <c r="B8" s="9">
        <f>'Pricing &amp; cost per clause'!B5</f>
        <v/>
      </c>
      <c r="C8" s="10">
        <f>'Pricing &amp; cost per clause'!D5</f>
        <v/>
      </c>
      <c r="D8" s="10">
        <f>'Pricing &amp; cost per clause'!F5</f>
        <v/>
      </c>
      <c r="E8" s="11">
        <f>'Pricing &amp; cost per clause'!I5</f>
        <v/>
      </c>
      <c r="F8" s="9" t="inlineStr">
        <is>
          <t>Already wired into our app, no key yet.</t>
        </is>
      </c>
    </row>
    <row r="9">
      <c r="A9" s="9" t="inlineStr">
        <is>
          <t>Alibaba</t>
        </is>
      </c>
      <c r="B9" s="9">
        <f>'Pricing &amp; cost per clause'!B26</f>
        <v/>
      </c>
      <c r="C9" s="10">
        <f>'Pricing &amp; cost per clause'!D26</f>
        <v/>
      </c>
      <c r="D9" s="10">
        <f>'Pricing &amp; cost per clause'!F26</f>
        <v/>
      </c>
      <c r="E9" s="11">
        <f>'Pricing &amp; cost per clause'!I26</f>
        <v/>
      </c>
      <c r="F9" s="9" t="inlineStr">
        <is>
          <t>Alibaba's strongest model.</t>
        </is>
      </c>
    </row>
    <row r="10">
      <c r="A10" s="9" t="inlineStr">
        <is>
          <t>Moonshot</t>
        </is>
      </c>
      <c r="B10" s="9">
        <f>'Pricing &amp; cost per clause'!B33</f>
        <v/>
      </c>
      <c r="C10" s="10">
        <f>'Pricing &amp; cost per clause'!D33</f>
        <v/>
      </c>
      <c r="D10" s="10">
        <f>'Pricing &amp; cost per clause'!F33</f>
        <v/>
      </c>
      <c r="E10" s="11">
        <f>'Pricing &amp; cost per clause'!I33</f>
        <v/>
      </c>
      <c r="F10" s="9" t="inlineStr">
        <is>
          <t>Already wired into our app and account created; balance needed to run it.</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min="1" max="1"/>
    <col width="22" customWidth="1" min="2" max="2"/>
    <col width="22" customWidth="1" min="3" max="3"/>
    <col width="90" customWidth="1" min="4" max="4"/>
  </cols>
  <sheetData>
    <row r="1">
      <c r="A1" s="6" t="inlineStr">
        <is>
          <t>V5 judgment step - tokens per clause (Step 8 only)</t>
        </is>
      </c>
    </row>
    <row r="2" ht="45" customHeight="1">
      <c r="A2" s="7" t="inlineStr">
        <is>
          <t>Measured from 3 real logged calls on claude-opus-5 (V5, TFS Guidelines v12 vs IMPTFS). Input = input_tokens + cache_write_tokens (caching is OFF by default now, so all input bills at the base rate).</t>
        </is>
      </c>
    </row>
    <row r="4">
      <c r="A4" s="8" t="inlineStr">
        <is>
          <t>Scenario</t>
        </is>
      </c>
      <c r="B4" s="8" t="inlineStr">
        <is>
          <t>Input tokens / clause</t>
        </is>
      </c>
      <c r="C4" s="8" t="inlineStr">
        <is>
          <t>Output tokens / clause</t>
        </is>
      </c>
      <c r="D4" s="8" t="inlineStr">
        <is>
          <t>How it was derived</t>
        </is>
      </c>
    </row>
    <row r="5">
      <c r="A5" s="2" t="inlineStr">
        <is>
          <t>Light clause</t>
        </is>
      </c>
      <c r="B5" s="12" t="n">
        <v>4879</v>
      </c>
      <c r="C5" s="12" t="n">
        <v>1356</v>
      </c>
      <c r="D5" s="2" t="inlineStr">
        <is>
          <t>Smallest logged call: 1,169 input + 3,710 cache-write; 1,356 output</t>
        </is>
      </c>
    </row>
    <row r="6">
      <c r="A6" s="2" t="inlineStr">
        <is>
          <t>Typical clause</t>
        </is>
      </c>
      <c r="B6" s="13">
        <f>ROUND(AVERAGE(4879,13703,16042),0)</f>
        <v/>
      </c>
      <c r="C6" s="13">
        <f>ROUND(AVERAGE(1356,1273,1302),0)</f>
        <v/>
      </c>
      <c r="D6" s="2" t="inlineStr">
        <is>
          <t>Average of the three logged calls (input 4,879 / 13,703 / 16,042; output 1,356 / 1,273 / 1,302)</t>
        </is>
      </c>
    </row>
    <row r="7">
      <c r="A7" s="2" t="inlineStr">
        <is>
          <t>Heavy clause</t>
        </is>
      </c>
      <c r="B7" s="12" t="n">
        <v>16042</v>
      </c>
      <c r="C7" s="12" t="n">
        <v>1302</v>
      </c>
      <c r="D7" s="2" t="inlineStr">
        <is>
          <t>Largest logged call: 939 input + 15,103 cache-write; 1,302 output</t>
        </is>
      </c>
    </row>
    <row r="9">
      <c r="A9" s="14" t="inlineStr">
        <is>
          <t>Run sizes used in the tables</t>
        </is>
      </c>
    </row>
    <row r="10">
      <c r="A10" s="5" t="inlineStr">
        <is>
          <t>Small run (clauses)</t>
        </is>
      </c>
      <c r="B10" s="15" t="n">
        <v>30</v>
      </c>
    </row>
    <row r="11">
      <c r="A11" s="5" t="inlineStr">
        <is>
          <t>Medium run (clauses)</t>
        </is>
      </c>
      <c r="B11" s="15" t="n">
        <v>100</v>
      </c>
    </row>
    <row r="12">
      <c r="A12" s="5" t="inlineStr">
        <is>
          <t>Large run (clauses)</t>
        </is>
      </c>
      <c r="B12" s="15" t="n">
        <v>1000</v>
      </c>
    </row>
    <row r="14">
      <c r="A14" s="16" t="inlineStr">
        <is>
          <t>Notes</t>
        </is>
      </c>
    </row>
    <row r="15" ht="32" customHeight="1">
      <c r="A15" s="7" t="inlineStr">
        <is>
          <t>1. Yellow cells with blue text are inputs - change them and every cost recalculates.</t>
        </is>
      </c>
    </row>
    <row r="16" ht="32" customHeight="1">
      <c r="A16" s="7" t="inlineStr">
        <is>
          <t>2. Token counts are Claude Opus 5 tokenizer counts. Other vendors tokenize differently; use the 'Token factor' column on the Pricing sheet to adjust (1.00 = same).</t>
        </is>
      </c>
    </row>
    <row r="17" ht="32" customHeight="1">
      <c r="A17" s="7" t="inlineStr">
        <is>
          <t>3. Output tokens include the model's reasoning/structured-tool output. Models that 'think' more will use more output tokens than the logged Opus 5 calls.</t>
        </is>
      </c>
    </row>
    <row r="18" ht="32" customHeight="1">
      <c r="A18" s="7" t="inlineStr">
        <is>
          <t>4. Clause context is ~5k-16k tokens, so every model is priced at its standard (&lt;=200k context) tier.</t>
        </is>
      </c>
    </row>
    <row r="19" ht="32" customHeight="1">
      <c r="A19" s="7" t="inlineStr">
        <is>
          <t>5. Prices are list prices in USD per 1M tokens, read from each vendor's pricing page on 21 Sep 2026. Prices change - re-check before committing budget.</t>
        </is>
      </c>
    </row>
    <row r="20" ht="32" customHeight="1">
      <c r="A20" s="7" t="inlineStr">
        <is>
          <t>6. This estimates ONLY the judgment call. Steps 1-7 (expansion, BM25, embeddings, fusion, selection) run locally and cost $0 in model fees.</t>
        </is>
      </c>
    </row>
    <row r="21" ht="32" customHeight="1">
      <c r="A21" s="7" t="inlineStr">
        <is>
          <t>7. QUALITY IS NOT MEASURED HERE. Only claude-opus-5 has been run through our pipeline. The 'Tier' column is a price tier, not a benchmark result.</t>
        </is>
      </c>
    </row>
  </sheetData>
  <mergeCells count="8">
    <mergeCell ref="A17:D17"/>
    <mergeCell ref="A18:D18"/>
    <mergeCell ref="A2:E2"/>
    <mergeCell ref="A20:D20"/>
    <mergeCell ref="A21:D21"/>
    <mergeCell ref="A15:D15"/>
    <mergeCell ref="A16:D16"/>
    <mergeCell ref="A19: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26" customWidth="1" min="2" max="2"/>
    <col width="16" customWidth="1" min="3" max="3"/>
    <col width="70" customWidth="1" min="4" max="4"/>
  </cols>
  <sheetData>
    <row r="1">
      <c r="A1" s="6" t="inlineStr">
        <is>
          <t>Recommended LLMs to test for V5 judgment</t>
        </is>
      </c>
    </row>
    <row r="2" ht="48" customHeight="1">
      <c r="A2" s="7" t="inlineStr">
        <is>
          <t>Ranked by price tier and fit for structured compliance judgment over retrieved policy text - NOT a measured accuracy ranking. Only Claude Opus 5 has been verified end to end on V5; run the others on the verified 30-clause TFS set and compare against manual results before switching.</t>
        </is>
      </c>
    </row>
    <row r="4">
      <c r="A4" s="8" t="inlineStr">
        <is>
          <t>Rank</t>
        </is>
      </c>
      <c r="B4" s="8" t="inlineStr">
        <is>
          <t>LLM</t>
        </is>
      </c>
      <c r="C4" s="8" t="inlineStr">
        <is>
          <t>Cost per clause</t>
        </is>
      </c>
      <c r="D4" s="8" t="inlineStr">
        <is>
          <t>Why</t>
        </is>
      </c>
    </row>
    <row r="5">
      <c r="A5" s="9" t="n">
        <v>1</v>
      </c>
      <c r="B5" s="9" t="inlineStr">
        <is>
          <t>Claude Opus 5</t>
        </is>
      </c>
      <c r="C5" s="17">
        <f>'Pricing &amp; cost per clause'!I35</f>
        <v/>
      </c>
      <c r="D5" s="9" t="inlineStr">
        <is>
          <t>Already verified end to end (clause 2.5 came back compliant at 93% confidence). Treat it as the reference to beat.</t>
        </is>
      </c>
    </row>
    <row r="6">
      <c r="A6" s="9" t="n">
        <v>2</v>
      </c>
      <c r="B6" s="9" t="inlineStr">
        <is>
          <t>gpt-5.6-sol</t>
        </is>
      </c>
      <c r="C6" s="17">
        <f>'Pricing &amp; cost per clause'!I34</f>
        <v/>
      </c>
      <c r="D6" s="9" t="inlineStr">
        <is>
          <t>Top-tier OpenAI model, a comparable class, and a useful second opinion.</t>
        </is>
      </c>
    </row>
    <row r="7">
      <c r="A7" s="9" t="n">
        <v>3</v>
      </c>
      <c r="B7" s="9" t="inlineStr">
        <is>
          <t>Claude Sonnet 5</t>
        </is>
      </c>
      <c r="C7" s="17">
        <f>'Pricing &amp; cost per clause'!I27</f>
        <v/>
      </c>
      <c r="D7" s="9" t="inlineStr">
        <is>
          <t>Same prompts and tool format as Opus 5, so it is the easiest fair comparison. It costs 60% less.</t>
        </is>
      </c>
    </row>
    <row r="8">
      <c r="A8" s="9" t="n">
        <v>4</v>
      </c>
      <c r="B8" s="9" t="inlineStr">
        <is>
          <t>Gemini 3.1 Pro Preview</t>
        </is>
      </c>
      <c r="C8" s="17">
        <f>'Pricing &amp; cost per clause'!I29</f>
        <v/>
      </c>
      <c r="D8" s="9" t="inlineStr">
        <is>
          <t>Strong reasoning tier, but it is a preview model.</t>
        </is>
      </c>
    </row>
    <row r="9">
      <c r="A9" s="9" t="n">
        <v>5</v>
      </c>
      <c r="B9" s="9" t="inlineStr">
        <is>
          <t>kimi-k3</t>
        </is>
      </c>
      <c r="C9" s="17">
        <f>'Pricing &amp; cost per clause'!I33</f>
        <v/>
      </c>
      <c r="D9" s="9" t="inlineStr">
        <is>
          <t>Worth a look, but it needs a new provider added first (done - awaiting account balance).</t>
        </is>
      </c>
    </row>
    <row r="10">
      <c r="A10" s="9" t="n">
        <v>6</v>
      </c>
      <c r="B10" s="9" t="inlineStr">
        <is>
          <t>glm-4.6</t>
        </is>
      </c>
      <c r="C10" s="17">
        <f>'Pricing &amp; cost per clause'!I11</f>
        <v/>
      </c>
      <c r="D10" s="9" t="inlineStr">
        <is>
          <t>Cheapest of the credible Chinese models; needs a new provider added first.</t>
        </is>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0" customWidth="1" min="3" max="3"/>
    <col width="11" customWidth="1" min="4" max="4"/>
    <col width="12" customWidth="1" min="5" max="5"/>
    <col width="11" customWidth="1" min="6" max="6"/>
    <col width="9" customWidth="1" min="7" max="7"/>
    <col width="13" customWidth="1" min="8" max="8"/>
    <col width="14" customWidth="1" min="9" max="9"/>
    <col width="13" customWidth="1" min="10" max="10"/>
    <col width="12" customWidth="1" min="11" max="11"/>
    <col width="13" customWidth="1" min="12" max="12"/>
    <col width="14" customWidth="1" min="13" max="13"/>
    <col width="12" customWidth="1" min="14" max="14"/>
    <col width="9" customWidth="1" min="15" max="15"/>
    <col width="46" customWidth="1" min="16" max="16"/>
    <col width="46" customWidth="1" min="17" max="17"/>
    <col width="44" customWidth="1" min="18" max="18"/>
  </cols>
  <sheetData>
    <row r="1" ht="34" customHeight="1">
      <c r="A1" s="1" t="inlineStr">
        <is>
          <t>Provider</t>
        </is>
      </c>
      <c r="B1" s="1" t="inlineStr">
        <is>
          <t>Model</t>
        </is>
      </c>
      <c r="C1" s="1" t="inlineStr">
        <is>
          <t>Tier</t>
        </is>
      </c>
      <c r="D1" s="1" t="inlineStr">
        <is>
          <t>Input $/1M</t>
        </is>
      </c>
      <c r="E1" s="1" t="inlineStr">
        <is>
          <t>Cached input $/1M</t>
        </is>
      </c>
      <c r="F1" s="1" t="inlineStr">
        <is>
          <t>Output $/1M</t>
        </is>
      </c>
      <c r="G1" s="1" t="inlineStr">
        <is>
          <t>Token factor</t>
        </is>
      </c>
      <c r="H1" s="1" t="inlineStr">
        <is>
          <t>Cost / clause - light</t>
        </is>
      </c>
      <c r="I1" s="1" t="inlineStr">
        <is>
          <t>Cost / clause - TYPICAL</t>
        </is>
      </c>
      <c r="J1" s="1" t="inlineStr">
        <is>
          <t>Cost / clause - heavy</t>
        </is>
      </c>
      <c r="K1" s="1" t="inlineStr">
        <is>
          <t>Cost - small run</t>
        </is>
      </c>
      <c r="L1" s="1" t="inlineStr">
        <is>
          <t>Cost - medium run</t>
        </is>
      </c>
      <c r="M1" s="1" t="inlineStr">
        <is>
          <t>Cost - large run</t>
        </is>
      </c>
      <c r="N1" s="1" t="inlineStr">
        <is>
          <t>vs Opus 5 (typical)</t>
        </is>
      </c>
      <c r="O1" s="1" t="inlineStr">
        <is>
          <t>Context</t>
        </is>
      </c>
      <c r="P1" s="1" t="inlineStr">
        <is>
          <t>Available in our app today?</t>
        </is>
      </c>
      <c r="Q1" s="1" t="inlineStr">
        <is>
          <t>Notes</t>
        </is>
      </c>
      <c r="R1" s="1" t="inlineStr">
        <is>
          <t>Source</t>
        </is>
      </c>
    </row>
    <row r="2">
      <c r="A2" s="2" t="inlineStr">
        <is>
          <t>Google</t>
        </is>
      </c>
      <c r="B2" s="2" t="inlineStr">
        <is>
          <t>Gemini 2.5 Flash-Lite</t>
        </is>
      </c>
      <c r="C2" s="2" t="inlineStr">
        <is>
          <t>Budget</t>
        </is>
      </c>
      <c r="D2" s="18" t="n">
        <v>0.1</v>
      </c>
      <c r="E2" s="18" t="n">
        <v>0.01</v>
      </c>
      <c r="F2" s="18" t="n">
        <v>0.4</v>
      </c>
      <c r="G2" s="19" t="n">
        <v>1</v>
      </c>
      <c r="H2" s="20">
        <f>(Assumptions!$B$5*$G2*$D2+Assumptions!$C$5*$G2*$F2)/1000000</f>
        <v/>
      </c>
      <c r="I2" s="4">
        <f>(Assumptions!$B$6*$G2*$D2+Assumptions!$C$6*$G2*$F2)/1000000</f>
        <v/>
      </c>
      <c r="J2" s="20">
        <f>(Assumptions!$B$7*$G2*$D2+Assumptions!$C$7*$G2*$F2)/1000000</f>
        <v/>
      </c>
      <c r="K2" s="21">
        <f>$I2*Assumptions!$B$10</f>
        <v/>
      </c>
      <c r="L2" s="21">
        <f>$I2*Assumptions!$B$11</f>
        <v/>
      </c>
      <c r="M2" s="21">
        <f>$I2*Assumptions!$B$12</f>
        <v/>
      </c>
      <c r="N2" s="22">
        <f>$I2/$I$35</f>
        <v/>
      </c>
      <c r="O2" s="2" t="inlineStr">
        <is>
          <t>-</t>
        </is>
      </c>
      <c r="P2" s="9" t="inlineStr">
        <is>
          <t>Yes - selectable</t>
        </is>
      </c>
      <c r="Q2" s="9" t="inlineStr"/>
      <c r="R2" s="2" t="inlineStr">
        <is>
          <t>https://ai.google.dev/gemini-api/docs/pricing</t>
        </is>
      </c>
    </row>
    <row r="3">
      <c r="A3" s="2" t="inlineStr">
        <is>
          <t>Alibaba (Qwen)</t>
        </is>
      </c>
      <c r="B3" s="2" t="inlineStr">
        <is>
          <t>qwen3.5-flash</t>
        </is>
      </c>
      <c r="C3" s="2" t="inlineStr">
        <is>
          <t>Budget</t>
        </is>
      </c>
      <c r="D3" s="18" t="n">
        <v>0.1</v>
      </c>
      <c r="E3" s="18" t="n">
        <v>0.03</v>
      </c>
      <c r="F3" s="18" t="n">
        <v>0.4</v>
      </c>
      <c r="G3" s="19" t="n">
        <v>1</v>
      </c>
      <c r="H3" s="20">
        <f>(Assumptions!$B$5*$G3*$D3+Assumptions!$C$5*$G3*$F3)/1000000</f>
        <v/>
      </c>
      <c r="I3" s="4">
        <f>(Assumptions!$B$6*$G3*$D3+Assumptions!$C$6*$G3*$F3)/1000000</f>
        <v/>
      </c>
      <c r="J3" s="20">
        <f>(Assumptions!$B$7*$G3*$D3+Assumptions!$C$7*$G3*$F3)/1000000</f>
        <v/>
      </c>
      <c r="K3" s="21">
        <f>$I3*Assumptions!$B$10</f>
        <v/>
      </c>
      <c r="L3" s="21">
        <f>$I3*Assumptions!$B$11</f>
        <v/>
      </c>
      <c r="M3" s="21">
        <f>$I3*Assumptions!$B$12</f>
        <v/>
      </c>
      <c r="N3" s="22">
        <f>$I3/$I$35</f>
        <v/>
      </c>
      <c r="O3" s="2" t="inlineStr">
        <is>
          <t>1M</t>
        </is>
      </c>
      <c r="P3" s="9" t="inlineStr">
        <is>
          <t>No - new provider needed (OpenAI-compatible API via DashScope)</t>
        </is>
      </c>
      <c r="Q3" s="9" t="inlineStr">
        <is>
          <t>Chinese (Alibaba). Lightest/cheapest Qwen tier.</t>
        </is>
      </c>
      <c r="R3" s="2" t="inlineStr">
        <is>
          <t>https://www.eesel.ai/blog/qwen-pricing</t>
        </is>
      </c>
    </row>
    <row r="4">
      <c r="A4" s="2" t="inlineStr">
        <is>
          <t>OpenAI</t>
        </is>
      </c>
      <c r="B4" s="2" t="inlineStr">
        <is>
          <t>gpt-4o-mini</t>
        </is>
      </c>
      <c r="C4" s="2" t="inlineStr">
        <is>
          <t>Budget</t>
        </is>
      </c>
      <c r="D4" s="18" t="n">
        <v>0.15</v>
      </c>
      <c r="E4" s="18" t="n">
        <v>0.075</v>
      </c>
      <c r="F4" s="18" t="n">
        <v>0.6</v>
      </c>
      <c r="G4" s="19" t="n">
        <v>1</v>
      </c>
      <c r="H4" s="20">
        <f>(Assumptions!$B$5*$G4*$D4+Assumptions!$C$5*$G4*$F4)/1000000</f>
        <v/>
      </c>
      <c r="I4" s="4">
        <f>(Assumptions!$B$6*$G4*$D4+Assumptions!$C$6*$G4*$F4)/1000000</f>
        <v/>
      </c>
      <c r="J4" s="20">
        <f>(Assumptions!$B$7*$G4*$D4+Assumptions!$C$7*$G4*$F4)/1000000</f>
        <v/>
      </c>
      <c r="K4" s="21">
        <f>$I4*Assumptions!$B$10</f>
        <v/>
      </c>
      <c r="L4" s="21">
        <f>$I4*Assumptions!$B$11</f>
        <v/>
      </c>
      <c r="M4" s="21">
        <f>$I4*Assumptions!$B$12</f>
        <v/>
      </c>
      <c r="N4" s="22">
        <f>$I4/$I$35</f>
        <v/>
      </c>
      <c r="O4" s="2" t="inlineStr">
        <is>
          <t>-</t>
        </is>
      </c>
      <c r="P4" s="9" t="inlineStr">
        <is>
          <t>Yes - selectable</t>
        </is>
      </c>
      <c r="Q4" s="9" t="inlineStr">
        <is>
          <t>Older model.</t>
        </is>
      </c>
      <c r="R4" s="2" t="inlineStr">
        <is>
          <t>https://developers.openai.com/api/docs/pricing</t>
        </is>
      </c>
    </row>
    <row r="5">
      <c r="A5" s="2" t="inlineStr">
        <is>
          <t>DeepSeek</t>
        </is>
      </c>
      <c r="B5" s="2" t="inlineStr">
        <is>
          <t>deepseek-flash (off-peak)</t>
        </is>
      </c>
      <c r="C5" s="2" t="inlineStr">
        <is>
          <t>Budget</t>
        </is>
      </c>
      <c r="D5" s="18" t="n">
        <v>0.15</v>
      </c>
      <c r="E5" s="18" t="n">
        <v>0.003</v>
      </c>
      <c r="F5" s="18" t="n">
        <v>0.6</v>
      </c>
      <c r="G5" s="19" t="n">
        <v>1</v>
      </c>
      <c r="H5" s="20">
        <f>(Assumptions!$B$5*$G5*$D5+Assumptions!$C$5*$G5*$F5)/1000000</f>
        <v/>
      </c>
      <c r="I5" s="4">
        <f>(Assumptions!$B$6*$G5*$D5+Assumptions!$C$6*$G5*$F5)/1000000</f>
        <v/>
      </c>
      <c r="J5" s="20">
        <f>(Assumptions!$B$7*$G5*$D5+Assumptions!$C$7*$G5*$F5)/1000000</f>
        <v/>
      </c>
      <c r="K5" s="21">
        <f>$I5*Assumptions!$B$10</f>
        <v/>
      </c>
      <c r="L5" s="21">
        <f>$I5*Assumptions!$B$11</f>
        <v/>
      </c>
      <c r="M5" s="21">
        <f>$I5*Assumptions!$B$12</f>
        <v/>
      </c>
      <c r="N5" s="22">
        <f>$I5/$I$35</f>
        <v/>
      </c>
      <c r="O5" s="2" t="inlineStr">
        <is>
          <t>1M</t>
        </is>
      </c>
      <c r="P5" s="9" t="inlineStr">
        <is>
          <t>No - new provider needed (OpenAI-compatible API)</t>
        </is>
      </c>
      <c r="Q5" s="9" t="inlineStr">
        <is>
          <t>Off-peak rate.</t>
        </is>
      </c>
      <c r="R5" s="2" t="inlineStr">
        <is>
          <t>https://api-docs.deepseek.com/quick_start/pricing</t>
        </is>
      </c>
    </row>
    <row r="6">
      <c r="A6" s="2" t="inlineStr">
        <is>
          <t>OpenAI</t>
        </is>
      </c>
      <c r="B6" s="2" t="inlineStr">
        <is>
          <t>gpt-5.6-luna</t>
        </is>
      </c>
      <c r="C6" s="2" t="inlineStr">
        <is>
          <t>Budget</t>
        </is>
      </c>
      <c r="D6" s="18" t="n">
        <v>0.2</v>
      </c>
      <c r="E6" s="18" t="n">
        <v>0.02</v>
      </c>
      <c r="F6" s="18" t="n">
        <v>1.2</v>
      </c>
      <c r="G6" s="19" t="n">
        <v>1</v>
      </c>
      <c r="H6" s="20">
        <f>(Assumptions!$B$5*$G6*$D6+Assumptions!$C$5*$G6*$F6)/1000000</f>
        <v/>
      </c>
      <c r="I6" s="4">
        <f>(Assumptions!$B$6*$G6*$D6+Assumptions!$C$6*$G6*$F6)/1000000</f>
        <v/>
      </c>
      <c r="J6" s="20">
        <f>(Assumptions!$B$7*$G6*$D6+Assumptions!$C$7*$G6*$F6)/1000000</f>
        <v/>
      </c>
      <c r="K6" s="21">
        <f>$I6*Assumptions!$B$10</f>
        <v/>
      </c>
      <c r="L6" s="21">
        <f>$I6*Assumptions!$B$11</f>
        <v/>
      </c>
      <c r="M6" s="21">
        <f>$I6*Assumptions!$B$12</f>
        <v/>
      </c>
      <c r="N6" s="22">
        <f>$I6/$I$35</f>
        <v/>
      </c>
      <c r="O6" s="2" t="inlineStr">
        <is>
          <t>-</t>
        </is>
      </c>
      <c r="P6" s="9" t="inlineStr">
        <is>
          <t>No - add id (provider exists)</t>
        </is>
      </c>
      <c r="Q6" s="9" t="inlineStr"/>
      <c r="R6" s="2" t="inlineStr">
        <is>
          <t>https://developers.openai.com/api/docs/pricing</t>
        </is>
      </c>
    </row>
    <row r="7">
      <c r="A7" s="2" t="inlineStr">
        <is>
          <t>DeepSeek</t>
        </is>
      </c>
      <c r="B7" s="2" t="inlineStr">
        <is>
          <t>deepseek-flash (peak)</t>
        </is>
      </c>
      <c r="C7" s="2" t="inlineStr">
        <is>
          <t>Budget</t>
        </is>
      </c>
      <c r="D7" s="18" t="n">
        <v>0.3</v>
      </c>
      <c r="E7" s="18" t="n">
        <v>0.006</v>
      </c>
      <c r="F7" s="18" t="n">
        <v>1.2</v>
      </c>
      <c r="G7" s="19" t="n">
        <v>1</v>
      </c>
      <c r="H7" s="20">
        <f>(Assumptions!$B$5*$G7*$D7+Assumptions!$C$5*$G7*$F7)/1000000</f>
        <v/>
      </c>
      <c r="I7" s="4">
        <f>(Assumptions!$B$6*$G7*$D7+Assumptions!$C$6*$G7*$F7)/1000000</f>
        <v/>
      </c>
      <c r="J7" s="20">
        <f>(Assumptions!$B$7*$G7*$D7+Assumptions!$C$7*$G7*$F7)/1000000</f>
        <v/>
      </c>
      <c r="K7" s="21">
        <f>$I7*Assumptions!$B$10</f>
        <v/>
      </c>
      <c r="L7" s="21">
        <f>$I7*Assumptions!$B$11</f>
        <v/>
      </c>
      <c r="M7" s="21">
        <f>$I7*Assumptions!$B$12</f>
        <v/>
      </c>
      <c r="N7" s="22">
        <f>$I7/$I$35</f>
        <v/>
      </c>
      <c r="O7" s="2" t="inlineStr">
        <is>
          <t>1M</t>
        </is>
      </c>
      <c r="P7" s="9" t="inlineStr">
        <is>
          <t>No - new provider needed (OpenAI-compatible API)</t>
        </is>
      </c>
      <c r="Q7" s="9" t="inlineStr">
        <is>
          <t>Peak rate.</t>
        </is>
      </c>
      <c r="R7" s="2" t="inlineStr">
        <is>
          <t>https://api-docs.deepseek.com/quick_start/pricing</t>
        </is>
      </c>
    </row>
    <row r="8">
      <c r="A8" s="2" t="inlineStr">
        <is>
          <t>OpenAI</t>
        </is>
      </c>
      <c r="B8" s="2" t="inlineStr">
        <is>
          <t>gpt-5-mini</t>
        </is>
      </c>
      <c r="C8" s="2" t="inlineStr">
        <is>
          <t>Budget</t>
        </is>
      </c>
      <c r="D8" s="18" t="n">
        <v>0.25</v>
      </c>
      <c r="E8" s="18" t="n">
        <v>0.025</v>
      </c>
      <c r="F8" s="18" t="n">
        <v>2</v>
      </c>
      <c r="G8" s="19" t="n">
        <v>1</v>
      </c>
      <c r="H8" s="20">
        <f>(Assumptions!$B$5*$G8*$D8+Assumptions!$C$5*$G8*$F8)/1000000</f>
        <v/>
      </c>
      <c r="I8" s="4">
        <f>(Assumptions!$B$6*$G8*$D8+Assumptions!$C$6*$G8*$F8)/1000000</f>
        <v/>
      </c>
      <c r="J8" s="20">
        <f>(Assumptions!$B$7*$G8*$D8+Assumptions!$C$7*$G8*$F8)/1000000</f>
        <v/>
      </c>
      <c r="K8" s="21">
        <f>$I8*Assumptions!$B$10</f>
        <v/>
      </c>
      <c r="L8" s="21">
        <f>$I8*Assumptions!$B$11</f>
        <v/>
      </c>
      <c r="M8" s="21">
        <f>$I8*Assumptions!$B$12</f>
        <v/>
      </c>
      <c r="N8" s="22">
        <f>$I8/$I$35</f>
        <v/>
      </c>
      <c r="O8" s="2" t="inlineStr">
        <is>
          <t>-</t>
        </is>
      </c>
      <c r="P8" s="9" t="inlineStr">
        <is>
          <t>No - add id (provider exists)</t>
        </is>
      </c>
      <c r="Q8" s="9" t="inlineStr"/>
      <c r="R8" s="2" t="inlineStr">
        <is>
          <t>https://developers.openai.com/api/docs/pricing</t>
        </is>
      </c>
    </row>
    <row r="9">
      <c r="A9" s="2" t="inlineStr">
        <is>
          <t>Google</t>
        </is>
      </c>
      <c r="B9" s="2" t="inlineStr">
        <is>
          <t>Gemini 2.5 Flash</t>
        </is>
      </c>
      <c r="C9" s="2" t="inlineStr">
        <is>
          <t>Budget</t>
        </is>
      </c>
      <c r="D9" s="18" t="n">
        <v>0.3</v>
      </c>
      <c r="E9" s="18" t="n">
        <v>0.03</v>
      </c>
      <c r="F9" s="18" t="n">
        <v>2.5</v>
      </c>
      <c r="G9" s="19" t="n">
        <v>1</v>
      </c>
      <c r="H9" s="20">
        <f>(Assumptions!$B$5*$G9*$D9+Assumptions!$C$5*$G9*$F9)/1000000</f>
        <v/>
      </c>
      <c r="I9" s="4">
        <f>(Assumptions!$B$6*$G9*$D9+Assumptions!$C$6*$G9*$F9)/1000000</f>
        <v/>
      </c>
      <c r="J9" s="20">
        <f>(Assumptions!$B$7*$G9*$D9+Assumptions!$C$7*$G9*$F9)/1000000</f>
        <v/>
      </c>
      <c r="K9" s="21">
        <f>$I9*Assumptions!$B$10</f>
        <v/>
      </c>
      <c r="L9" s="21">
        <f>$I9*Assumptions!$B$11</f>
        <v/>
      </c>
      <c r="M9" s="21">
        <f>$I9*Assumptions!$B$12</f>
        <v/>
      </c>
      <c r="N9" s="22">
        <f>$I9/$I$35</f>
        <v/>
      </c>
      <c r="O9" s="2" t="inlineStr">
        <is>
          <t>-</t>
        </is>
      </c>
      <c r="P9" s="9" t="inlineStr">
        <is>
          <t>Yes - selectable</t>
        </is>
      </c>
      <c r="Q9" s="9" t="inlineStr"/>
      <c r="R9" s="2" t="inlineStr">
        <is>
          <t>https://ai.google.dev/gemini-api/docs/pricing</t>
        </is>
      </c>
    </row>
    <row r="10">
      <c r="A10" s="2" t="inlineStr">
        <is>
          <t>Google</t>
        </is>
      </c>
      <c r="B10" s="2" t="inlineStr">
        <is>
          <t>Gemini 3.5 Flash-Lite</t>
        </is>
      </c>
      <c r="C10" s="2" t="inlineStr">
        <is>
          <t>Budget</t>
        </is>
      </c>
      <c r="D10" s="18" t="n">
        <v>0.3</v>
      </c>
      <c r="E10" s="18" t="n">
        <v>0.03</v>
      </c>
      <c r="F10" s="18" t="n">
        <v>2.5</v>
      </c>
      <c r="G10" s="19" t="n">
        <v>1</v>
      </c>
      <c r="H10" s="20">
        <f>(Assumptions!$B$5*$G10*$D10+Assumptions!$C$5*$G10*$F10)/1000000</f>
        <v/>
      </c>
      <c r="I10" s="4">
        <f>(Assumptions!$B$6*$G10*$D10+Assumptions!$C$6*$G10*$F10)/1000000</f>
        <v/>
      </c>
      <c r="J10" s="20">
        <f>(Assumptions!$B$7*$G10*$D10+Assumptions!$C$7*$G10*$F10)/1000000</f>
        <v/>
      </c>
      <c r="K10" s="21">
        <f>$I10*Assumptions!$B$10</f>
        <v/>
      </c>
      <c r="L10" s="21">
        <f>$I10*Assumptions!$B$11</f>
        <v/>
      </c>
      <c r="M10" s="21">
        <f>$I10*Assumptions!$B$12</f>
        <v/>
      </c>
      <c r="N10" s="22">
        <f>$I10/$I$35</f>
        <v/>
      </c>
      <c r="O10" s="2" t="inlineStr">
        <is>
          <t>-</t>
        </is>
      </c>
      <c r="P10" s="9" t="inlineStr">
        <is>
          <t>Yes - selectable</t>
        </is>
      </c>
      <c r="Q10" s="9" t="inlineStr"/>
      <c r="R10" s="2" t="inlineStr">
        <is>
          <t>https://ai.google.dev/gemini-api/docs/pricing</t>
        </is>
      </c>
    </row>
    <row r="11">
      <c r="A11" s="2" t="inlineStr">
        <is>
          <t>Zhipu AI (GLM)</t>
        </is>
      </c>
      <c r="B11" s="2" t="inlineStr">
        <is>
          <t>glm-4.6</t>
        </is>
      </c>
      <c r="C11" s="2" t="inlineStr">
        <is>
          <t>Budget</t>
        </is>
      </c>
      <c r="D11" s="18" t="n">
        <v>0.43</v>
      </c>
      <c r="E11" s="18" t="n">
        <v>0.11</v>
      </c>
      <c r="F11" s="18" t="n">
        <v>1.74</v>
      </c>
      <c r="G11" s="19" t="n">
        <v>1</v>
      </c>
      <c r="H11" s="20">
        <f>(Assumptions!$B$5*$G11*$D11+Assumptions!$C$5*$G11*$F11)/1000000</f>
        <v/>
      </c>
      <c r="I11" s="4">
        <f>(Assumptions!$B$6*$G11*$D11+Assumptions!$C$6*$G11*$F11)/1000000</f>
        <v/>
      </c>
      <c r="J11" s="20">
        <f>(Assumptions!$B$7*$G11*$D11+Assumptions!$C$7*$G11*$F11)/1000000</f>
        <v/>
      </c>
      <c r="K11" s="21">
        <f>$I11*Assumptions!$B$10</f>
        <v/>
      </c>
      <c r="L11" s="21">
        <f>$I11*Assumptions!$B$11</f>
        <v/>
      </c>
      <c r="M11" s="21">
        <f>$I11*Assumptions!$B$12</f>
        <v/>
      </c>
      <c r="N11" s="22">
        <f>$I11/$I$35</f>
        <v/>
      </c>
      <c r="O11" s="2" t="inlineStr">
        <is>
          <t>200k</t>
        </is>
      </c>
      <c r="P11" s="9" t="inlineStr">
        <is>
          <t>No - new provider needed (OpenAI-compatible API)</t>
        </is>
      </c>
      <c r="Q11" s="9" t="inlineStr">
        <is>
          <t>Chinese (Zhipu AI / Tsinghua). Cache hits ~20-25% of input rate.</t>
        </is>
      </c>
      <c r="R11" s="2" t="inlineStr">
        <is>
          <t>https://www.clawrouters.com/blog/zhipu-glm-api-pricing-2026</t>
        </is>
      </c>
    </row>
    <row r="12">
      <c r="A12" s="2" t="inlineStr">
        <is>
          <t>Alibaba (Qwen)</t>
        </is>
      </c>
      <c r="B12" s="2" t="inlineStr">
        <is>
          <t>qwen3.5-plus</t>
        </is>
      </c>
      <c r="C12" s="2" t="inlineStr">
        <is>
          <t>Budget</t>
        </is>
      </c>
      <c r="D12" s="18" t="n">
        <v>0.4</v>
      </c>
      <c r="E12" s="18" t="n">
        <v>0.1</v>
      </c>
      <c r="F12" s="18" t="n">
        <v>2.4</v>
      </c>
      <c r="G12" s="19" t="n">
        <v>1</v>
      </c>
      <c r="H12" s="20">
        <f>(Assumptions!$B$5*$G12*$D12+Assumptions!$C$5*$G12*$F12)/1000000</f>
        <v/>
      </c>
      <c r="I12" s="4">
        <f>(Assumptions!$B$6*$G12*$D12+Assumptions!$C$6*$G12*$F12)/1000000</f>
        <v/>
      </c>
      <c r="J12" s="20">
        <f>(Assumptions!$B$7*$G12*$D12+Assumptions!$C$7*$G12*$F12)/1000000</f>
        <v/>
      </c>
      <c r="K12" s="21">
        <f>$I12*Assumptions!$B$10</f>
        <v/>
      </c>
      <c r="L12" s="21">
        <f>$I12*Assumptions!$B$11</f>
        <v/>
      </c>
      <c r="M12" s="21">
        <f>$I12*Assumptions!$B$12</f>
        <v/>
      </c>
      <c r="N12" s="22">
        <f>$I12/$I$35</f>
        <v/>
      </c>
      <c r="O12" s="2" t="inlineStr">
        <is>
          <t>1M</t>
        </is>
      </c>
      <c r="P12" s="9" t="inlineStr">
        <is>
          <t>No - new provider needed (OpenAI-compatible API via DashScope)</t>
        </is>
      </c>
      <c r="Q12" s="9" t="inlineStr">
        <is>
          <t>Chinese (Alibaba). 1M context.</t>
        </is>
      </c>
      <c r="R12" s="2" t="inlineStr">
        <is>
          <t>https://www.eesel.ai/blog/qwen-pricing</t>
        </is>
      </c>
    </row>
    <row r="13">
      <c r="A13" s="2" t="inlineStr">
        <is>
          <t>DeepSeek</t>
        </is>
      </c>
      <c r="B13" s="2" t="inlineStr">
        <is>
          <t>deepseek-v4-pro (off-peak)</t>
        </is>
      </c>
      <c r="C13" s="2" t="inlineStr">
        <is>
          <t>Budget</t>
        </is>
      </c>
      <c r="D13" s="18" t="n">
        <v>0.66</v>
      </c>
      <c r="E13" s="18" t="n">
        <v>0.022</v>
      </c>
      <c r="F13" s="18" t="n">
        <v>1.98</v>
      </c>
      <c r="G13" s="19" t="n">
        <v>1</v>
      </c>
      <c r="H13" s="20">
        <f>(Assumptions!$B$5*$G13*$D13+Assumptions!$C$5*$G13*$F13)/1000000</f>
        <v/>
      </c>
      <c r="I13" s="4">
        <f>(Assumptions!$B$6*$G13*$D13+Assumptions!$C$6*$G13*$F13)/1000000</f>
        <v/>
      </c>
      <c r="J13" s="20">
        <f>(Assumptions!$B$7*$G13*$D13+Assumptions!$C$7*$G13*$F13)/1000000</f>
        <v/>
      </c>
      <c r="K13" s="21">
        <f>$I13*Assumptions!$B$10</f>
        <v/>
      </c>
      <c r="L13" s="21">
        <f>$I13*Assumptions!$B$11</f>
        <v/>
      </c>
      <c r="M13" s="21">
        <f>$I13*Assumptions!$B$12</f>
        <v/>
      </c>
      <c r="N13" s="22">
        <f>$I13/$I$35</f>
        <v/>
      </c>
      <c r="O13" s="2" t="inlineStr">
        <is>
          <t>1M</t>
        </is>
      </c>
      <c r="P13" s="9" t="inlineStr">
        <is>
          <t>No - new provider needed (OpenAI-compatible API)</t>
        </is>
      </c>
      <c r="Q13" s="9" t="inlineStr">
        <is>
          <t>Off-peak: all other times incl. weekends.</t>
        </is>
      </c>
      <c r="R13" s="2" t="inlineStr">
        <is>
          <t>https://api-docs.deepseek.com/quick_start/pricing</t>
        </is>
      </c>
    </row>
    <row r="14">
      <c r="A14" s="2" t="inlineStr">
        <is>
          <t>Google</t>
        </is>
      </c>
      <c r="B14" s="2" t="inlineStr">
        <is>
          <t>Gemini 3.6 Flash</t>
        </is>
      </c>
      <c r="C14" s="2" t="inlineStr">
        <is>
          <t>Budget</t>
        </is>
      </c>
      <c r="D14" s="18" t="n">
        <v>0.75</v>
      </c>
      <c r="E14" s="18" t="n">
        <v>0.075</v>
      </c>
      <c r="F14" s="18" t="n">
        <v>3.75</v>
      </c>
      <c r="G14" s="19" t="n">
        <v>1</v>
      </c>
      <c r="H14" s="20">
        <f>(Assumptions!$B$5*$G14*$D14+Assumptions!$C$5*$G14*$F14)/1000000</f>
        <v/>
      </c>
      <c r="I14" s="4">
        <f>(Assumptions!$B$6*$G14*$D14+Assumptions!$C$6*$G14*$F14)/1000000</f>
        <v/>
      </c>
      <c r="J14" s="20">
        <f>(Assumptions!$B$7*$G14*$D14+Assumptions!$C$7*$G14*$F14)/1000000</f>
        <v/>
      </c>
      <c r="K14" s="21">
        <f>$I14*Assumptions!$B$10</f>
        <v/>
      </c>
      <c r="L14" s="21">
        <f>$I14*Assumptions!$B$11</f>
        <v/>
      </c>
      <c r="M14" s="21">
        <f>$I14*Assumptions!$B$12</f>
        <v/>
      </c>
      <c r="N14" s="22">
        <f>$I14/$I$35</f>
        <v/>
      </c>
      <c r="O14" s="2" t="inlineStr">
        <is>
          <t>-</t>
        </is>
      </c>
      <c r="P14" s="9" t="inlineStr">
        <is>
          <t>Yes - selectable</t>
        </is>
      </c>
      <c r="Q14" s="9" t="inlineStr">
        <is>
          <t>Promo rate through 31 Dec 2026; doubles on 1 Jan 2027.</t>
        </is>
      </c>
      <c r="R14" s="2" t="inlineStr">
        <is>
          <t>https://ai.google.dev/gemini-api/docs/pricing</t>
        </is>
      </c>
    </row>
    <row r="15">
      <c r="A15" s="2" t="inlineStr">
        <is>
          <t>OpenAI</t>
        </is>
      </c>
      <c r="B15" s="2" t="inlineStr">
        <is>
          <t>gpt-5.4-mini</t>
        </is>
      </c>
      <c r="C15" s="2" t="inlineStr">
        <is>
          <t>Budget</t>
        </is>
      </c>
      <c r="D15" s="18" t="n">
        <v>0.75</v>
      </c>
      <c r="E15" s="18" t="n">
        <v>0.075</v>
      </c>
      <c r="F15" s="18" t="n">
        <v>4.5</v>
      </c>
      <c r="G15" s="19" t="n">
        <v>1</v>
      </c>
      <c r="H15" s="20">
        <f>(Assumptions!$B$5*$G15*$D15+Assumptions!$C$5*$G15*$F15)/1000000</f>
        <v/>
      </c>
      <c r="I15" s="4">
        <f>(Assumptions!$B$6*$G15*$D15+Assumptions!$C$6*$G15*$F15)/1000000</f>
        <v/>
      </c>
      <c r="J15" s="20">
        <f>(Assumptions!$B$7*$G15*$D15+Assumptions!$C$7*$G15*$F15)/1000000</f>
        <v/>
      </c>
      <c r="K15" s="21">
        <f>$I15*Assumptions!$B$10</f>
        <v/>
      </c>
      <c r="L15" s="21">
        <f>$I15*Assumptions!$B$11</f>
        <v/>
      </c>
      <c r="M15" s="21">
        <f>$I15*Assumptions!$B$12</f>
        <v/>
      </c>
      <c r="N15" s="22">
        <f>$I15/$I$35</f>
        <v/>
      </c>
      <c r="O15" s="2" t="inlineStr">
        <is>
          <t>-</t>
        </is>
      </c>
      <c r="P15" s="9" t="inlineStr">
        <is>
          <t>No - add id (provider exists)</t>
        </is>
      </c>
      <c r="Q15" s="9" t="inlineStr"/>
      <c r="R15" s="2" t="inlineStr">
        <is>
          <t>https://developers.openai.com/api/docs/pricing</t>
        </is>
      </c>
    </row>
    <row r="16">
      <c r="A16" s="2" t="inlineStr">
        <is>
          <t>Moonshot (Kimi)</t>
        </is>
      </c>
      <c r="B16" s="2" t="inlineStr">
        <is>
          <t>kimi-k2.7-code</t>
        </is>
      </c>
      <c r="C16" s="2" t="inlineStr">
        <is>
          <t>Budget</t>
        </is>
      </c>
      <c r="D16" s="18" t="n">
        <v>0.95</v>
      </c>
      <c r="E16" s="18" t="n">
        <v>0.19</v>
      </c>
      <c r="F16" s="18" t="n">
        <v>4</v>
      </c>
      <c r="G16" s="19" t="n">
        <v>1</v>
      </c>
      <c r="H16" s="20">
        <f>(Assumptions!$B$5*$G16*$D16+Assumptions!$C$5*$G16*$F16)/1000000</f>
        <v/>
      </c>
      <c r="I16" s="4">
        <f>(Assumptions!$B$6*$G16*$D16+Assumptions!$C$6*$G16*$F16)/1000000</f>
        <v/>
      </c>
      <c r="J16" s="20">
        <f>(Assumptions!$B$7*$G16*$D16+Assumptions!$C$7*$G16*$F16)/1000000</f>
        <v/>
      </c>
      <c r="K16" s="21">
        <f>$I16*Assumptions!$B$10</f>
        <v/>
      </c>
      <c r="L16" s="21">
        <f>$I16*Assumptions!$B$11</f>
        <v/>
      </c>
      <c r="M16" s="21">
        <f>$I16*Assumptions!$B$12</f>
        <v/>
      </c>
      <c r="N16" s="22">
        <f>$I16/$I$35</f>
        <v/>
      </c>
      <c r="O16" s="2" t="inlineStr">
        <is>
          <t>262k</t>
        </is>
      </c>
      <c r="P16" s="9" t="inlineStr">
        <is>
          <t>No - new provider needed (OpenAI-compatible API)</t>
        </is>
      </c>
      <c r="Q16" s="9" t="inlineStr">
        <is>
          <t>Coding-tuned model.</t>
        </is>
      </c>
      <c r="R16" s="2" t="inlineStr">
        <is>
          <t>https://platform.kimi.ai/docs/pricing/chat</t>
        </is>
      </c>
    </row>
    <row r="17">
      <c r="A17" s="2" t="inlineStr">
        <is>
          <t>Moonshot (Kimi)</t>
        </is>
      </c>
      <c r="B17" s="2" t="inlineStr">
        <is>
          <t>kimi-k2.6</t>
        </is>
      </c>
      <c r="C17" s="2" t="inlineStr">
        <is>
          <t>Budget</t>
        </is>
      </c>
      <c r="D17" s="18" t="n">
        <v>0.95</v>
      </c>
      <c r="E17" s="18" t="n">
        <v>0.16</v>
      </c>
      <c r="F17" s="18" t="n">
        <v>4</v>
      </c>
      <c r="G17" s="19" t="n">
        <v>1</v>
      </c>
      <c r="H17" s="20">
        <f>(Assumptions!$B$5*$G17*$D17+Assumptions!$C$5*$G17*$F17)/1000000</f>
        <v/>
      </c>
      <c r="I17" s="4">
        <f>(Assumptions!$B$6*$G17*$D17+Assumptions!$C$6*$G17*$F17)/1000000</f>
        <v/>
      </c>
      <c r="J17" s="20">
        <f>(Assumptions!$B$7*$G17*$D17+Assumptions!$C$7*$G17*$F17)/1000000</f>
        <v/>
      </c>
      <c r="K17" s="21">
        <f>$I17*Assumptions!$B$10</f>
        <v/>
      </c>
      <c r="L17" s="21">
        <f>$I17*Assumptions!$B$11</f>
        <v/>
      </c>
      <c r="M17" s="21">
        <f>$I17*Assumptions!$B$12</f>
        <v/>
      </c>
      <c r="N17" s="22">
        <f>$I17/$I$35</f>
        <v/>
      </c>
      <c r="O17" s="2" t="inlineStr">
        <is>
          <t>262k</t>
        </is>
      </c>
      <c r="P17" s="9" t="inlineStr">
        <is>
          <t>No - new provider needed (OpenAI-compatible API)</t>
        </is>
      </c>
      <c r="Q17" s="9" t="inlineStr"/>
      <c r="R17" s="2" t="inlineStr">
        <is>
          <t>https://platform.kimi.ai/docs/pricing/chat</t>
        </is>
      </c>
    </row>
    <row r="18">
      <c r="A18" s="2" t="inlineStr">
        <is>
          <t>xAI</t>
        </is>
      </c>
      <c r="B18" s="2" t="inlineStr">
        <is>
          <t>grok-4.3</t>
        </is>
      </c>
      <c r="C18" s="2" t="inlineStr">
        <is>
          <t>Budget</t>
        </is>
      </c>
      <c r="D18" s="18" t="n">
        <v>1.25</v>
      </c>
      <c r="E18" s="18" t="n">
        <v>0.2</v>
      </c>
      <c r="F18" s="18" t="n">
        <v>2.5</v>
      </c>
      <c r="G18" s="19" t="n">
        <v>1</v>
      </c>
      <c r="H18" s="20">
        <f>(Assumptions!$B$5*$G18*$D18+Assumptions!$C$5*$G18*$F18)/1000000</f>
        <v/>
      </c>
      <c r="I18" s="4">
        <f>(Assumptions!$B$6*$G18*$D18+Assumptions!$C$6*$G18*$F18)/1000000</f>
        <v/>
      </c>
      <c r="J18" s="20">
        <f>(Assumptions!$B$7*$G18*$D18+Assumptions!$C$7*$G18*$F18)/1000000</f>
        <v/>
      </c>
      <c r="K18" s="21">
        <f>$I18*Assumptions!$B$10</f>
        <v/>
      </c>
      <c r="L18" s="21">
        <f>$I18*Assumptions!$B$11</f>
        <v/>
      </c>
      <c r="M18" s="21">
        <f>$I18*Assumptions!$B$12</f>
        <v/>
      </c>
      <c r="N18" s="22">
        <f>$I18/$I$35</f>
        <v/>
      </c>
      <c r="O18" s="2" t="inlineStr">
        <is>
          <t>1M</t>
        </is>
      </c>
      <c r="P18" s="9" t="inlineStr">
        <is>
          <t>No - app lists only grok-3/grok-2</t>
        </is>
      </c>
      <c r="Q18" s="9" t="inlineStr">
        <is>
          <t>Rates shown are &lt;200k context.</t>
        </is>
      </c>
      <c r="R18" s="2" t="inlineStr">
        <is>
          <t>https://docs.x.ai/docs/models</t>
        </is>
      </c>
    </row>
    <row r="19">
      <c r="A19" s="2" t="inlineStr">
        <is>
          <t>Anthropic</t>
        </is>
      </c>
      <c r="B19" s="2" t="inlineStr">
        <is>
          <t>Claude Haiku 4.5</t>
        </is>
      </c>
      <c r="C19" s="2" t="inlineStr">
        <is>
          <t>Budget</t>
        </is>
      </c>
      <c r="D19" s="18" t="n">
        <v>1</v>
      </c>
      <c r="E19" s="18" t="n">
        <v>0.1</v>
      </c>
      <c r="F19" s="18" t="n">
        <v>5</v>
      </c>
      <c r="G19" s="19" t="n">
        <v>1</v>
      </c>
      <c r="H19" s="20">
        <f>(Assumptions!$B$5*$G19*$D19+Assumptions!$C$5*$G19*$F19)/1000000</f>
        <v/>
      </c>
      <c r="I19" s="4">
        <f>(Assumptions!$B$6*$G19*$D19+Assumptions!$C$6*$G19*$F19)/1000000</f>
        <v/>
      </c>
      <c r="J19" s="20">
        <f>(Assumptions!$B$7*$G19*$D19+Assumptions!$C$7*$G19*$F19)/1000000</f>
        <v/>
      </c>
      <c r="K19" s="21">
        <f>$I19*Assumptions!$B$10</f>
        <v/>
      </c>
      <c r="L19" s="21">
        <f>$I19*Assumptions!$B$11</f>
        <v/>
      </c>
      <c r="M19" s="21">
        <f>$I19*Assumptions!$B$12</f>
        <v/>
      </c>
      <c r="N19" s="22">
        <f>$I19/$I$35</f>
        <v/>
      </c>
      <c r="O19" s="2" t="inlineStr">
        <is>
          <t>200k</t>
        </is>
      </c>
      <c r="P19" s="9" t="inlineStr">
        <is>
          <t>Yes - selectable</t>
        </is>
      </c>
      <c r="Q19" s="9" t="inlineStr">
        <is>
          <t>Older tokenizer.</t>
        </is>
      </c>
      <c r="R19" s="2" t="inlineStr">
        <is>
          <t>https://platform.claude.com/docs/en/about-claude/pricing</t>
        </is>
      </c>
    </row>
    <row r="20">
      <c r="A20" s="2" t="inlineStr">
        <is>
          <t>DeepSeek</t>
        </is>
      </c>
      <c r="B20" s="2" t="inlineStr">
        <is>
          <t>deepseek-v4-pro (peak)</t>
        </is>
      </c>
      <c r="C20" s="2" t="inlineStr">
        <is>
          <t>Budget</t>
        </is>
      </c>
      <c r="D20" s="18" t="n">
        <v>1.32</v>
      </c>
      <c r="E20" s="18" t="n">
        <v>0.044</v>
      </c>
      <c r="F20" s="18" t="n">
        <v>3.96</v>
      </c>
      <c r="G20" s="19" t="n">
        <v>1</v>
      </c>
      <c r="H20" s="20">
        <f>(Assumptions!$B$5*$G20*$D20+Assumptions!$C$5*$G20*$F20)/1000000</f>
        <v/>
      </c>
      <c r="I20" s="4">
        <f>(Assumptions!$B$6*$G20*$D20+Assumptions!$C$6*$G20*$F20)/1000000</f>
        <v/>
      </c>
      <c r="J20" s="20">
        <f>(Assumptions!$B$7*$G20*$D20+Assumptions!$C$7*$G20*$F20)/1000000</f>
        <v/>
      </c>
      <c r="K20" s="21">
        <f>$I20*Assumptions!$B$10</f>
        <v/>
      </c>
      <c r="L20" s="21">
        <f>$I20*Assumptions!$B$11</f>
        <v/>
      </c>
      <c r="M20" s="21">
        <f>$I20*Assumptions!$B$12</f>
        <v/>
      </c>
      <c r="N20" s="22">
        <f>$I20/$I$35</f>
        <v/>
      </c>
      <c r="O20" s="2" t="inlineStr">
        <is>
          <t>1M</t>
        </is>
      </c>
      <c r="P20" s="9" t="inlineStr">
        <is>
          <t>No - new provider needed (OpenAI-compatible API)</t>
        </is>
      </c>
      <c r="Q20" s="9" t="inlineStr">
        <is>
          <t>Peak: 01-04 and 06-10 UTC, Mon-Fri. Off-peak is half.</t>
        </is>
      </c>
      <c r="R20" s="2" t="inlineStr">
        <is>
          <t>https://api-docs.deepseek.com/quick_start/pricing</t>
        </is>
      </c>
    </row>
    <row r="21">
      <c r="A21" s="2" t="inlineStr">
        <is>
          <t>OpenAI</t>
        </is>
      </c>
      <c r="B21" s="2" t="inlineStr">
        <is>
          <t>gpt-5</t>
        </is>
      </c>
      <c r="C21" s="2" t="inlineStr">
        <is>
          <t>Balanced</t>
        </is>
      </c>
      <c r="D21" s="18" t="n">
        <v>1.25</v>
      </c>
      <c r="E21" s="18" t="n">
        <v>0.125</v>
      </c>
      <c r="F21" s="18" t="n">
        <v>10</v>
      </c>
      <c r="G21" s="19" t="n">
        <v>1</v>
      </c>
      <c r="H21" s="20">
        <f>(Assumptions!$B$5*$G21*$D21+Assumptions!$C$5*$G21*$F21)/1000000</f>
        <v/>
      </c>
      <c r="I21" s="4">
        <f>(Assumptions!$B$6*$G21*$D21+Assumptions!$C$6*$G21*$F21)/1000000</f>
        <v/>
      </c>
      <c r="J21" s="20">
        <f>(Assumptions!$B$7*$G21*$D21+Assumptions!$C$7*$G21*$F21)/1000000</f>
        <v/>
      </c>
      <c r="K21" s="21">
        <f>$I21*Assumptions!$B$10</f>
        <v/>
      </c>
      <c r="L21" s="21">
        <f>$I21*Assumptions!$B$11</f>
        <v/>
      </c>
      <c r="M21" s="21">
        <f>$I21*Assumptions!$B$12</f>
        <v/>
      </c>
      <c r="N21" s="22">
        <f>$I21/$I$35</f>
        <v/>
      </c>
      <c r="O21" s="2" t="inlineStr">
        <is>
          <t>-</t>
        </is>
      </c>
      <c r="P21" s="9" t="inlineStr">
        <is>
          <t>Yes - selectable</t>
        </is>
      </c>
      <c r="Q21" s="9" t="inlineStr"/>
      <c r="R21" s="2" t="inlineStr">
        <is>
          <t>https://developers.openai.com/api/docs/pricing</t>
        </is>
      </c>
    </row>
    <row r="22">
      <c r="A22" s="2" t="inlineStr">
        <is>
          <t>Google</t>
        </is>
      </c>
      <c r="B22" s="2" t="inlineStr">
        <is>
          <t>Gemini 2.5 Pro</t>
        </is>
      </c>
      <c r="C22" s="2" t="inlineStr">
        <is>
          <t>Balanced</t>
        </is>
      </c>
      <c r="D22" s="18" t="n">
        <v>1.25</v>
      </c>
      <c r="E22" s="18" t="n">
        <v>0.125</v>
      </c>
      <c r="F22" s="18" t="n">
        <v>10</v>
      </c>
      <c r="G22" s="19" t="n">
        <v>1</v>
      </c>
      <c r="H22" s="20">
        <f>(Assumptions!$B$5*$G22*$D22+Assumptions!$C$5*$G22*$F22)/1000000</f>
        <v/>
      </c>
      <c r="I22" s="4">
        <f>(Assumptions!$B$6*$G22*$D22+Assumptions!$C$6*$G22*$F22)/1000000</f>
        <v/>
      </c>
      <c r="J22" s="20">
        <f>(Assumptions!$B$7*$G22*$D22+Assumptions!$C$7*$G22*$F22)/1000000</f>
        <v/>
      </c>
      <c r="K22" s="21">
        <f>$I22*Assumptions!$B$10</f>
        <v/>
      </c>
      <c r="L22" s="21">
        <f>$I22*Assumptions!$B$11</f>
        <v/>
      </c>
      <c r="M22" s="21">
        <f>$I22*Assumptions!$B$12</f>
        <v/>
      </c>
      <c r="N22" s="22">
        <f>$I22/$I$35</f>
        <v/>
      </c>
      <c r="O22" s="2" t="inlineStr">
        <is>
          <t>-</t>
        </is>
      </c>
      <c r="P22" s="9" t="inlineStr">
        <is>
          <t>No - add id (provider exists)</t>
        </is>
      </c>
      <c r="Q22" s="9" t="inlineStr">
        <is>
          <t>Rates shown are &lt;=200k context.</t>
        </is>
      </c>
      <c r="R22" s="2" t="inlineStr">
        <is>
          <t>https://ai.google.dev/gemini-api/docs/pricing</t>
        </is>
      </c>
    </row>
    <row r="23">
      <c r="A23" s="2" t="inlineStr">
        <is>
          <t>Google</t>
        </is>
      </c>
      <c r="B23" s="2" t="inlineStr">
        <is>
          <t>Gemini 3.5 Flash</t>
        </is>
      </c>
      <c r="C23" s="2" t="inlineStr">
        <is>
          <t>Balanced</t>
        </is>
      </c>
      <c r="D23" s="18" t="n">
        <v>1.5</v>
      </c>
      <c r="E23" s="18" t="n">
        <v>0.15</v>
      </c>
      <c r="F23" s="18" t="n">
        <v>9</v>
      </c>
      <c r="G23" s="19" t="n">
        <v>1</v>
      </c>
      <c r="H23" s="20">
        <f>(Assumptions!$B$5*$G23*$D23+Assumptions!$C$5*$G23*$F23)/1000000</f>
        <v/>
      </c>
      <c r="I23" s="4">
        <f>(Assumptions!$B$6*$G23*$D23+Assumptions!$C$6*$G23*$F23)/1000000</f>
        <v/>
      </c>
      <c r="J23" s="20">
        <f>(Assumptions!$B$7*$G23*$D23+Assumptions!$C$7*$G23*$F23)/1000000</f>
        <v/>
      </c>
      <c r="K23" s="21">
        <f>$I23*Assumptions!$B$10</f>
        <v/>
      </c>
      <c r="L23" s="21">
        <f>$I23*Assumptions!$B$11</f>
        <v/>
      </c>
      <c r="M23" s="21">
        <f>$I23*Assumptions!$B$12</f>
        <v/>
      </c>
      <c r="N23" s="22">
        <f>$I23/$I$35</f>
        <v/>
      </c>
      <c r="O23" s="2" t="inlineStr">
        <is>
          <t>-</t>
        </is>
      </c>
      <c r="P23" s="9" t="inlineStr">
        <is>
          <t>Yes - selectable (Google default)</t>
        </is>
      </c>
      <c r="Q23" s="9" t="inlineStr"/>
      <c r="R23" s="2" t="inlineStr">
        <is>
          <t>https://ai.google.dev/gemini-api/docs/pricing</t>
        </is>
      </c>
    </row>
    <row r="24">
      <c r="A24" s="2" t="inlineStr">
        <is>
          <t>xAI</t>
        </is>
      </c>
      <c r="B24" s="2" t="inlineStr">
        <is>
          <t>grok-4.6</t>
        </is>
      </c>
      <c r="C24" s="2" t="inlineStr">
        <is>
          <t>Balanced</t>
        </is>
      </c>
      <c r="D24" s="18" t="n">
        <v>2</v>
      </c>
      <c r="E24" s="18" t="n">
        <v>0.5</v>
      </c>
      <c r="F24" s="18" t="n">
        <v>6</v>
      </c>
      <c r="G24" s="19" t="n">
        <v>1</v>
      </c>
      <c r="H24" s="20">
        <f>(Assumptions!$B$5*$G24*$D24+Assumptions!$C$5*$G24*$F24)/1000000</f>
        <v/>
      </c>
      <c r="I24" s="4">
        <f>(Assumptions!$B$6*$G24*$D24+Assumptions!$C$6*$G24*$F24)/1000000</f>
        <v/>
      </c>
      <c r="J24" s="20">
        <f>(Assumptions!$B$7*$G24*$D24+Assumptions!$C$7*$G24*$F24)/1000000</f>
        <v/>
      </c>
      <c r="K24" s="21">
        <f>$I24*Assumptions!$B$10</f>
        <v/>
      </c>
      <c r="L24" s="21">
        <f>$I24*Assumptions!$B$11</f>
        <v/>
      </c>
      <c r="M24" s="21">
        <f>$I24*Assumptions!$B$12</f>
        <v/>
      </c>
      <c r="N24" s="22">
        <f>$I24/$I$35</f>
        <v/>
      </c>
      <c r="O24" s="2" t="inlineStr">
        <is>
          <t>500k</t>
        </is>
      </c>
      <c r="P24" s="9" t="inlineStr">
        <is>
          <t>No - app lists only grok-3/grok-2</t>
        </is>
      </c>
      <c r="Q24" s="9" t="inlineStr">
        <is>
          <t>Rates shown are &lt;200k context.</t>
        </is>
      </c>
      <c r="R24" s="2" t="inlineStr">
        <is>
          <t>https://docs.x.ai/docs/models</t>
        </is>
      </c>
    </row>
    <row r="25">
      <c r="A25" s="2" t="inlineStr">
        <is>
          <t>xAI</t>
        </is>
      </c>
      <c r="B25" s="2" t="inlineStr">
        <is>
          <t>grok-4.5</t>
        </is>
      </c>
      <c r="C25" s="2" t="inlineStr">
        <is>
          <t>Balanced</t>
        </is>
      </c>
      <c r="D25" s="18" t="n">
        <v>2</v>
      </c>
      <c r="E25" s="18" t="n">
        <v>0.3</v>
      </c>
      <c r="F25" s="18" t="n">
        <v>6</v>
      </c>
      <c r="G25" s="19" t="n">
        <v>1</v>
      </c>
      <c r="H25" s="20">
        <f>(Assumptions!$B$5*$G25*$D25+Assumptions!$C$5*$G25*$F25)/1000000</f>
        <v/>
      </c>
      <c r="I25" s="4">
        <f>(Assumptions!$B$6*$G25*$D25+Assumptions!$C$6*$G25*$F25)/1000000</f>
        <v/>
      </c>
      <c r="J25" s="20">
        <f>(Assumptions!$B$7*$G25*$D25+Assumptions!$C$7*$G25*$F25)/1000000</f>
        <v/>
      </c>
      <c r="K25" s="21">
        <f>$I25*Assumptions!$B$10</f>
        <v/>
      </c>
      <c r="L25" s="21">
        <f>$I25*Assumptions!$B$11</f>
        <v/>
      </c>
      <c r="M25" s="21">
        <f>$I25*Assumptions!$B$12</f>
        <v/>
      </c>
      <c r="N25" s="22">
        <f>$I25/$I$35</f>
        <v/>
      </c>
      <c r="O25" s="2" t="inlineStr">
        <is>
          <t>500k</t>
        </is>
      </c>
      <c r="P25" s="9" t="inlineStr">
        <is>
          <t>No - app lists only grok-3/grok-2</t>
        </is>
      </c>
      <c r="Q25" s="9" t="inlineStr">
        <is>
          <t>Rates shown are &lt;200k context.</t>
        </is>
      </c>
      <c r="R25" s="2" t="inlineStr">
        <is>
          <t>https://docs.x.ai/docs/models</t>
        </is>
      </c>
    </row>
    <row r="26">
      <c r="A26" s="2" t="inlineStr">
        <is>
          <t>Alibaba (Qwen)</t>
        </is>
      </c>
      <c r="B26" s="2" t="inlineStr">
        <is>
          <t>qwen3.8-max</t>
        </is>
      </c>
      <c r="C26" s="2" t="inlineStr">
        <is>
          <t>Balanced</t>
        </is>
      </c>
      <c r="D26" s="18" t="n">
        <v>2</v>
      </c>
      <c r="E26" s="18" t="n">
        <v>0.25</v>
      </c>
      <c r="F26" s="18" t="n">
        <v>6</v>
      </c>
      <c r="G26" s="19" t="n">
        <v>1</v>
      </c>
      <c r="H26" s="20">
        <f>(Assumptions!$B$5*$G26*$D26+Assumptions!$C$5*$G26*$F26)/1000000</f>
        <v/>
      </c>
      <c r="I26" s="4">
        <f>(Assumptions!$B$6*$G26*$D26+Assumptions!$C$6*$G26*$F26)/1000000</f>
        <v/>
      </c>
      <c r="J26" s="20">
        <f>(Assumptions!$B$7*$G26*$D26+Assumptions!$C$7*$G26*$F26)/1000000</f>
        <v/>
      </c>
      <c r="K26" s="21">
        <f>$I26*Assumptions!$B$10</f>
        <v/>
      </c>
      <c r="L26" s="21">
        <f>$I26*Assumptions!$B$11</f>
        <v/>
      </c>
      <c r="M26" s="21">
        <f>$I26*Assumptions!$B$12</f>
        <v/>
      </c>
      <c r="N26" s="22">
        <f>$I26/$I$35</f>
        <v/>
      </c>
      <c r="O26" s="2" t="inlineStr">
        <is>
          <t>1M</t>
        </is>
      </c>
      <c r="P26" s="9" t="inlineStr">
        <is>
          <t>No - new provider needed (OpenAI-compatible API via DashScope)</t>
        </is>
      </c>
      <c r="Q26" s="9" t="inlineStr">
        <is>
          <t>Chinese (Alibaba). Strongest Qwen model.</t>
        </is>
      </c>
      <c r="R26" s="2" t="inlineStr">
        <is>
          <t>https://www.eesel.ai/blog/qwen-pricing</t>
        </is>
      </c>
    </row>
    <row r="27">
      <c r="A27" s="2" t="inlineStr">
        <is>
          <t>Anthropic</t>
        </is>
      </c>
      <c r="B27" s="2" t="inlineStr">
        <is>
          <t>Claude Sonnet 5</t>
        </is>
      </c>
      <c r="C27" s="2" t="inlineStr">
        <is>
          <t>Balanced</t>
        </is>
      </c>
      <c r="D27" s="18" t="n">
        <v>2</v>
      </c>
      <c r="E27" s="18" t="n">
        <v>0.2</v>
      </c>
      <c r="F27" s="18" t="n">
        <v>10</v>
      </c>
      <c r="G27" s="19" t="n">
        <v>1</v>
      </c>
      <c r="H27" s="20">
        <f>(Assumptions!$B$5*$G27*$D27+Assumptions!$C$5*$G27*$F27)/1000000</f>
        <v/>
      </c>
      <c r="I27" s="4">
        <f>(Assumptions!$B$6*$G27*$D27+Assumptions!$C$6*$G27*$F27)/1000000</f>
        <v/>
      </c>
      <c r="J27" s="20">
        <f>(Assumptions!$B$7*$G27*$D27+Assumptions!$C$7*$G27*$F27)/1000000</f>
        <v/>
      </c>
      <c r="K27" s="21">
        <f>$I27*Assumptions!$B$10</f>
        <v/>
      </c>
      <c r="L27" s="21">
        <f>$I27*Assumptions!$B$11</f>
        <v/>
      </c>
      <c r="M27" s="21">
        <f>$I27*Assumptions!$B$12</f>
        <v/>
      </c>
      <c r="N27" s="22">
        <f>$I27/$I$35</f>
        <v/>
      </c>
      <c r="O27" s="2" t="inlineStr">
        <is>
          <t>1M</t>
        </is>
      </c>
      <c r="P27" s="9" t="inlineStr">
        <is>
          <t>Yes - selectable (default), not yet tested on V5</t>
        </is>
      </c>
      <c r="Q27" s="9" t="inlineStr">
        <is>
          <t>Batch API 50% off ($1 / $5).</t>
        </is>
      </c>
      <c r="R27" s="2" t="inlineStr">
        <is>
          <t>https://platform.claude.com/docs/en/about-claude/pricing</t>
        </is>
      </c>
    </row>
    <row r="28">
      <c r="A28" s="2" t="inlineStr">
        <is>
          <t>OpenAI</t>
        </is>
      </c>
      <c r="B28" s="2" t="inlineStr">
        <is>
          <t>gpt-5.6-terra</t>
        </is>
      </c>
      <c r="C28" s="2" t="inlineStr">
        <is>
          <t>Balanced</t>
        </is>
      </c>
      <c r="D28" s="18" t="n">
        <v>2</v>
      </c>
      <c r="E28" s="18" t="n">
        <v>0.2</v>
      </c>
      <c r="F28" s="18" t="n">
        <v>12</v>
      </c>
      <c r="G28" s="19" t="n">
        <v>1</v>
      </c>
      <c r="H28" s="20">
        <f>(Assumptions!$B$5*$G28*$D28+Assumptions!$C$5*$G28*$F28)/1000000</f>
        <v/>
      </c>
      <c r="I28" s="4">
        <f>(Assumptions!$B$6*$G28*$D28+Assumptions!$C$6*$G28*$F28)/1000000</f>
        <v/>
      </c>
      <c r="J28" s="20">
        <f>(Assumptions!$B$7*$G28*$D28+Assumptions!$C$7*$G28*$F28)/1000000</f>
        <v/>
      </c>
      <c r="K28" s="21">
        <f>$I28*Assumptions!$B$10</f>
        <v/>
      </c>
      <c r="L28" s="21">
        <f>$I28*Assumptions!$B$11</f>
        <v/>
      </c>
      <c r="M28" s="21">
        <f>$I28*Assumptions!$B$12</f>
        <v/>
      </c>
      <c r="N28" s="22">
        <f>$I28/$I$35</f>
        <v/>
      </c>
      <c r="O28" s="2" t="inlineStr">
        <is>
          <t>-</t>
        </is>
      </c>
      <c r="P28" s="9" t="inlineStr">
        <is>
          <t>No - add id (provider exists)</t>
        </is>
      </c>
      <c r="Q28" s="9" t="inlineStr"/>
      <c r="R28" s="2" t="inlineStr">
        <is>
          <t>https://developers.openai.com/api/docs/pricing</t>
        </is>
      </c>
    </row>
    <row r="29">
      <c r="A29" s="2" t="inlineStr">
        <is>
          <t>Google</t>
        </is>
      </c>
      <c r="B29" s="2" t="inlineStr">
        <is>
          <t>Gemini 3.1 Pro Preview</t>
        </is>
      </c>
      <c r="C29" s="2" t="inlineStr">
        <is>
          <t>Balanced</t>
        </is>
      </c>
      <c r="D29" s="18" t="n">
        <v>2</v>
      </c>
      <c r="E29" s="18" t="n">
        <v>0.2</v>
      </c>
      <c r="F29" s="18" t="n">
        <v>12</v>
      </c>
      <c r="G29" s="19" t="n">
        <v>1</v>
      </c>
      <c r="H29" s="20">
        <f>(Assumptions!$B$5*$G29*$D29+Assumptions!$C$5*$G29*$F29)/1000000</f>
        <v/>
      </c>
      <c r="I29" s="4">
        <f>(Assumptions!$B$6*$G29*$D29+Assumptions!$C$6*$G29*$F29)/1000000</f>
        <v/>
      </c>
      <c r="J29" s="20">
        <f>(Assumptions!$B$7*$G29*$D29+Assumptions!$C$7*$G29*$F29)/1000000</f>
        <v/>
      </c>
      <c r="K29" s="21">
        <f>$I29*Assumptions!$B$10</f>
        <v/>
      </c>
      <c r="L29" s="21">
        <f>$I29*Assumptions!$B$11</f>
        <v/>
      </c>
      <c r="M29" s="21">
        <f>$I29*Assumptions!$B$12</f>
        <v/>
      </c>
      <c r="N29" s="22">
        <f>$I29/$I$35</f>
        <v/>
      </c>
      <c r="O29" s="2" t="inlineStr">
        <is>
          <t>-</t>
        </is>
      </c>
      <c r="P29" s="9" t="inlineStr">
        <is>
          <t>No - add id (provider exists)</t>
        </is>
      </c>
      <c r="Q29" s="9" t="inlineStr">
        <is>
          <t>Preview model. Rates shown are &lt;=200k context.</t>
        </is>
      </c>
      <c r="R29" s="2" t="inlineStr">
        <is>
          <t>https://ai.google.dev/gemini-api/docs/pricing</t>
        </is>
      </c>
    </row>
    <row r="30">
      <c r="A30" s="2" t="inlineStr">
        <is>
          <t>OpenAI</t>
        </is>
      </c>
      <c r="B30" s="2" t="inlineStr">
        <is>
          <t>gpt-4o</t>
        </is>
      </c>
      <c r="C30" s="2" t="inlineStr">
        <is>
          <t>Balanced</t>
        </is>
      </c>
      <c r="D30" s="18" t="n">
        <v>2.5</v>
      </c>
      <c r="E30" s="18" t="n">
        <v>1.25</v>
      </c>
      <c r="F30" s="18" t="n">
        <v>10</v>
      </c>
      <c r="G30" s="19" t="n">
        <v>1</v>
      </c>
      <c r="H30" s="20">
        <f>(Assumptions!$B$5*$G30*$D30+Assumptions!$C$5*$G30*$F30)/1000000</f>
        <v/>
      </c>
      <c r="I30" s="4">
        <f>(Assumptions!$B$6*$G30*$D30+Assumptions!$C$6*$G30*$F30)/1000000</f>
        <v/>
      </c>
      <c r="J30" s="20">
        <f>(Assumptions!$B$7*$G30*$D30+Assumptions!$C$7*$G30*$F30)/1000000</f>
        <v/>
      </c>
      <c r="K30" s="21">
        <f>$I30*Assumptions!$B$10</f>
        <v/>
      </c>
      <c r="L30" s="21">
        <f>$I30*Assumptions!$B$11</f>
        <v/>
      </c>
      <c r="M30" s="21">
        <f>$I30*Assumptions!$B$12</f>
        <v/>
      </c>
      <c r="N30" s="22">
        <f>$I30/$I$35</f>
        <v/>
      </c>
      <c r="O30" s="2" t="inlineStr">
        <is>
          <t>-</t>
        </is>
      </c>
      <c r="P30" s="9" t="inlineStr">
        <is>
          <t>Yes - selectable (OpenAI default)</t>
        </is>
      </c>
      <c r="Q30" s="9" t="inlineStr">
        <is>
          <t>Older model.</t>
        </is>
      </c>
      <c r="R30" s="2" t="inlineStr">
        <is>
          <t>https://developers.openai.com/api/docs/pricing</t>
        </is>
      </c>
    </row>
    <row r="31">
      <c r="A31" s="2" t="inlineStr">
        <is>
          <t>OpenAI</t>
        </is>
      </c>
      <c r="B31" s="2" t="inlineStr">
        <is>
          <t>gpt-5.4</t>
        </is>
      </c>
      <c r="C31" s="2" t="inlineStr">
        <is>
          <t>Balanced</t>
        </is>
      </c>
      <c r="D31" s="18" t="n">
        <v>2.5</v>
      </c>
      <c r="E31" s="18" t="n">
        <v>0.25</v>
      </c>
      <c r="F31" s="18" t="n">
        <v>15</v>
      </c>
      <c r="G31" s="19" t="n">
        <v>1</v>
      </c>
      <c r="H31" s="20">
        <f>(Assumptions!$B$5*$G31*$D31+Assumptions!$C$5*$G31*$F31)/1000000</f>
        <v/>
      </c>
      <c r="I31" s="4">
        <f>(Assumptions!$B$6*$G31*$D31+Assumptions!$C$6*$G31*$F31)/1000000</f>
        <v/>
      </c>
      <c r="J31" s="20">
        <f>(Assumptions!$B$7*$G31*$D31+Assumptions!$C$7*$G31*$F31)/1000000</f>
        <v/>
      </c>
      <c r="K31" s="21">
        <f>$I31*Assumptions!$B$10</f>
        <v/>
      </c>
      <c r="L31" s="21">
        <f>$I31*Assumptions!$B$11</f>
        <v/>
      </c>
      <c r="M31" s="21">
        <f>$I31*Assumptions!$B$12</f>
        <v/>
      </c>
      <c r="N31" s="22">
        <f>$I31/$I$35</f>
        <v/>
      </c>
      <c r="O31" s="2" t="inlineStr">
        <is>
          <t>-</t>
        </is>
      </c>
      <c r="P31" s="9" t="inlineStr">
        <is>
          <t>No - add id (provider exists)</t>
        </is>
      </c>
      <c r="Q31" s="9" t="inlineStr"/>
      <c r="R31" s="2" t="inlineStr">
        <is>
          <t>https://developers.openai.com/api/docs/pricing</t>
        </is>
      </c>
    </row>
    <row r="32">
      <c r="A32" s="2" t="inlineStr">
        <is>
          <t>Anthropic</t>
        </is>
      </c>
      <c r="B32" s="2" t="inlineStr">
        <is>
          <t>Claude Sonnet 4.6</t>
        </is>
      </c>
      <c r="C32" s="2" t="inlineStr">
        <is>
          <t>Balanced</t>
        </is>
      </c>
      <c r="D32" s="18" t="n">
        <v>3</v>
      </c>
      <c r="E32" s="18" t="n">
        <v>0.3</v>
      </c>
      <c r="F32" s="18" t="n">
        <v>15</v>
      </c>
      <c r="G32" s="19" t="n">
        <v>1</v>
      </c>
      <c r="H32" s="20">
        <f>(Assumptions!$B$5*$G32*$D32+Assumptions!$C$5*$G32*$F32)/1000000</f>
        <v/>
      </c>
      <c r="I32" s="4">
        <f>(Assumptions!$B$6*$G32*$D32+Assumptions!$C$6*$G32*$F32)/1000000</f>
        <v/>
      </c>
      <c r="J32" s="20">
        <f>(Assumptions!$B$7*$G32*$D32+Assumptions!$C$7*$G32*$F32)/1000000</f>
        <v/>
      </c>
      <c r="K32" s="21">
        <f>$I32*Assumptions!$B$10</f>
        <v/>
      </c>
      <c r="L32" s="21">
        <f>$I32*Assumptions!$B$11</f>
        <v/>
      </c>
      <c r="M32" s="21">
        <f>$I32*Assumptions!$B$12</f>
        <v/>
      </c>
      <c r="N32" s="22">
        <f>$I32/$I$35</f>
        <v/>
      </c>
      <c r="O32" s="2" t="inlineStr">
        <is>
          <t>1M</t>
        </is>
      </c>
      <c r="P32" s="9" t="inlineStr">
        <is>
          <t>Yes - selectable</t>
        </is>
      </c>
      <c r="Q32" s="9" t="inlineStr">
        <is>
          <t>Older tokenizer (~30% fewer tokens than Opus 5 for same text).</t>
        </is>
      </c>
      <c r="R32" s="2" t="inlineStr">
        <is>
          <t>https://platform.claude.com/docs/en/about-claude/pricing</t>
        </is>
      </c>
    </row>
    <row r="33">
      <c r="A33" s="2" t="inlineStr">
        <is>
          <t>Moonshot (Kimi)</t>
        </is>
      </c>
      <c r="B33" s="2" t="inlineStr">
        <is>
          <t>kimi-k3</t>
        </is>
      </c>
      <c r="C33" s="2" t="inlineStr">
        <is>
          <t>Balanced</t>
        </is>
      </c>
      <c r="D33" s="18" t="n">
        <v>3</v>
      </c>
      <c r="E33" s="18" t="n">
        <v>0.3</v>
      </c>
      <c r="F33" s="18" t="n">
        <v>15</v>
      </c>
      <c r="G33" s="19" t="n">
        <v>1</v>
      </c>
      <c r="H33" s="20">
        <f>(Assumptions!$B$5*$G33*$D33+Assumptions!$C$5*$G33*$F33)/1000000</f>
        <v/>
      </c>
      <c r="I33" s="4">
        <f>(Assumptions!$B$6*$G33*$D33+Assumptions!$C$6*$G33*$F33)/1000000</f>
        <v/>
      </c>
      <c r="J33" s="20">
        <f>(Assumptions!$B$7*$G33*$D33+Assumptions!$C$7*$G33*$F33)/1000000</f>
        <v/>
      </c>
      <c r="K33" s="21">
        <f>$I33*Assumptions!$B$10</f>
        <v/>
      </c>
      <c r="L33" s="21">
        <f>$I33*Assumptions!$B$11</f>
        <v/>
      </c>
      <c r="M33" s="21">
        <f>$I33*Assumptions!$B$12</f>
        <v/>
      </c>
      <c r="N33" s="22">
        <f>$I33/$I$35</f>
        <v/>
      </c>
      <c r="O33" s="2" t="inlineStr">
        <is>
          <t>1M</t>
        </is>
      </c>
      <c r="P33" s="9" t="inlineStr">
        <is>
          <t>No - new provider needed (OpenAI-compatible API)</t>
        </is>
      </c>
      <c r="Q33" s="9" t="inlineStr">
        <is>
          <t>K3 has a separate cache-write price; not on Batch API.</t>
        </is>
      </c>
      <c r="R33" s="2" t="inlineStr">
        <is>
          <t>https://platform.kimi.ai/docs/pricing/chat</t>
        </is>
      </c>
    </row>
    <row r="34">
      <c r="A34" s="2" t="inlineStr">
        <is>
          <t>OpenAI</t>
        </is>
      </c>
      <c r="B34" s="2" t="inlineStr">
        <is>
          <t>gpt-5.6-sol</t>
        </is>
      </c>
      <c r="C34" s="2" t="inlineStr">
        <is>
          <t>Premium</t>
        </is>
      </c>
      <c r="D34" s="18" t="n">
        <v>4</v>
      </c>
      <c r="E34" s="18" t="n">
        <v>0.4</v>
      </c>
      <c r="F34" s="18" t="n">
        <v>20</v>
      </c>
      <c r="G34" s="19" t="n">
        <v>1</v>
      </c>
      <c r="H34" s="20">
        <f>(Assumptions!$B$5*$G34*$D34+Assumptions!$C$5*$G34*$F34)/1000000</f>
        <v/>
      </c>
      <c r="I34" s="4">
        <f>(Assumptions!$B$6*$G34*$D34+Assumptions!$C$6*$G34*$F34)/1000000</f>
        <v/>
      </c>
      <c r="J34" s="20">
        <f>(Assumptions!$B$7*$G34*$D34+Assumptions!$C$7*$G34*$F34)/1000000</f>
        <v/>
      </c>
      <c r="K34" s="21">
        <f>$I34*Assumptions!$B$10</f>
        <v/>
      </c>
      <c r="L34" s="21">
        <f>$I34*Assumptions!$B$11</f>
        <v/>
      </c>
      <c r="M34" s="21">
        <f>$I34*Assumptions!$B$12</f>
        <v/>
      </c>
      <c r="N34" s="22">
        <f>$I34/$I$35</f>
        <v/>
      </c>
      <c r="O34" s="2" t="inlineStr">
        <is>
          <t>-</t>
        </is>
      </c>
      <c r="P34" s="9" t="inlineStr">
        <is>
          <t>No - add id (provider exists)</t>
        </is>
      </c>
      <c r="Q34" s="9" t="inlineStr"/>
      <c r="R34" s="2" t="inlineStr">
        <is>
          <t>https://developers.openai.com/api/docs/pricing</t>
        </is>
      </c>
    </row>
    <row r="35">
      <c r="A35" s="2" t="inlineStr">
        <is>
          <t>Anthropic</t>
        </is>
      </c>
      <c r="B35" s="2" t="inlineStr">
        <is>
          <t>Claude Opus 5</t>
        </is>
      </c>
      <c r="C35" s="2" t="inlineStr">
        <is>
          <t>Premium</t>
        </is>
      </c>
      <c r="D35" s="18" t="n">
        <v>5</v>
      </c>
      <c r="E35" s="18" t="n">
        <v>0.5</v>
      </c>
      <c r="F35" s="18" t="n">
        <v>25</v>
      </c>
      <c r="G35" s="19" t="n">
        <v>1</v>
      </c>
      <c r="H35" s="20">
        <f>(Assumptions!$B$5*$G35*$D35+Assumptions!$C$5*$G35*$F35)/1000000</f>
        <v/>
      </c>
      <c r="I35" s="4">
        <f>(Assumptions!$B$6*$G35*$D35+Assumptions!$C$6*$G35*$F35)/1000000</f>
        <v/>
      </c>
      <c r="J35" s="20">
        <f>(Assumptions!$B$7*$G35*$D35+Assumptions!$C$7*$G35*$F35)/1000000</f>
        <v/>
      </c>
      <c r="K35" s="21">
        <f>$I35*Assumptions!$B$10</f>
        <v/>
      </c>
      <c r="L35" s="21">
        <f>$I35*Assumptions!$B$11</f>
        <v/>
      </c>
      <c r="M35" s="21">
        <f>$I35*Assumptions!$B$12</f>
        <v/>
      </c>
      <c r="N35" s="22">
        <f>$I35/$I$35</f>
        <v/>
      </c>
      <c r="O35" s="2" t="inlineStr">
        <is>
          <t>1M</t>
        </is>
      </c>
      <c r="P35" s="9" t="inlineStr">
        <is>
          <t>Yes - selectable, tested</t>
        </is>
      </c>
      <c r="Q35" s="9" t="inlineStr">
        <is>
          <t>Current V5 model. Batch API is 50% off ($2.50 / $12.50).</t>
        </is>
      </c>
      <c r="R35" s="2" t="inlineStr">
        <is>
          <t>https://platform.claude.com/docs/en/about-claude/pricing</t>
        </is>
      </c>
    </row>
    <row r="36">
      <c r="A36" s="2" t="inlineStr">
        <is>
          <t>OpenAI</t>
        </is>
      </c>
      <c r="B36" s="2" t="inlineStr">
        <is>
          <t>gpt-5.5</t>
        </is>
      </c>
      <c r="C36" s="2" t="inlineStr">
        <is>
          <t>Premium</t>
        </is>
      </c>
      <c r="D36" s="18" t="n">
        <v>5</v>
      </c>
      <c r="E36" s="18" t="n">
        <v>0.5</v>
      </c>
      <c r="F36" s="18" t="n">
        <v>30</v>
      </c>
      <c r="G36" s="19" t="n">
        <v>1</v>
      </c>
      <c r="H36" s="20">
        <f>(Assumptions!$B$5*$G36*$D36+Assumptions!$C$5*$G36*$F36)/1000000</f>
        <v/>
      </c>
      <c r="I36" s="4">
        <f>(Assumptions!$B$6*$G36*$D36+Assumptions!$C$6*$G36*$F36)/1000000</f>
        <v/>
      </c>
      <c r="J36" s="20">
        <f>(Assumptions!$B$7*$G36*$D36+Assumptions!$C$7*$G36*$F36)/1000000</f>
        <v/>
      </c>
      <c r="K36" s="21">
        <f>$I36*Assumptions!$B$10</f>
        <v/>
      </c>
      <c r="L36" s="21">
        <f>$I36*Assumptions!$B$11</f>
        <v/>
      </c>
      <c r="M36" s="21">
        <f>$I36*Assumptions!$B$12</f>
        <v/>
      </c>
      <c r="N36" s="22">
        <f>$I36/$I$35</f>
        <v/>
      </c>
      <c r="O36" s="2" t="inlineStr">
        <is>
          <t>-</t>
        </is>
      </c>
      <c r="P36" s="9" t="inlineStr">
        <is>
          <t>No - add id (provider exists)</t>
        </is>
      </c>
      <c r="Q36" s="9" t="inlineStr"/>
      <c r="R36" s="2" t="inlineStr">
        <is>
          <t>https://developers.openai.com/api/docs/pricing</t>
        </is>
      </c>
    </row>
    <row r="37">
      <c r="A37" s="2" t="inlineStr">
        <is>
          <t>Anthropic</t>
        </is>
      </c>
      <c r="B37" s="2" t="inlineStr">
        <is>
          <t>Claude Fable 5.1</t>
        </is>
      </c>
      <c r="C37" s="2" t="inlineStr">
        <is>
          <t>Premium</t>
        </is>
      </c>
      <c r="D37" s="18" t="n">
        <v>10</v>
      </c>
      <c r="E37" s="18" t="n">
        <v>0.25</v>
      </c>
      <c r="F37" s="18" t="n">
        <v>50</v>
      </c>
      <c r="G37" s="19" t="n">
        <v>1</v>
      </c>
      <c r="H37" s="20">
        <f>(Assumptions!$B$5*$G37*$D37+Assumptions!$C$5*$G37*$F37)/1000000</f>
        <v/>
      </c>
      <c r="I37" s="4">
        <f>(Assumptions!$B$6*$G37*$D37+Assumptions!$C$6*$G37*$F37)/1000000</f>
        <v/>
      </c>
      <c r="J37" s="20">
        <f>(Assumptions!$B$7*$G37*$D37+Assumptions!$C$7*$G37*$F37)/1000000</f>
        <v/>
      </c>
      <c r="K37" s="21">
        <f>$I37*Assumptions!$B$10</f>
        <v/>
      </c>
      <c r="L37" s="21">
        <f>$I37*Assumptions!$B$11</f>
        <v/>
      </c>
      <c r="M37" s="21">
        <f>$I37*Assumptions!$B$12</f>
        <v/>
      </c>
      <c r="N37" s="22">
        <f>$I37/$I$35</f>
        <v/>
      </c>
      <c r="O37" s="2" t="inlineStr">
        <is>
          <t>1M</t>
        </is>
      </c>
      <c r="P37" s="9" t="inlineStr">
        <is>
          <t>Add id claude-fable-5-1 (claude-fable-5 is selectable, same price)</t>
        </is>
      </c>
      <c r="Q37" s="9" t="inlineStr"/>
      <c r="R37" s="2" t="inlineStr">
        <is>
          <t>https://platform.claude.com/docs/en/about-claude/pricing</t>
        </is>
      </c>
    </row>
    <row r="38">
      <c r="A38" s="2" t="inlineStr">
        <is>
          <t>OpenAI</t>
        </is>
      </c>
      <c r="B38" s="2" t="inlineStr">
        <is>
          <t>gpt-6-astra</t>
        </is>
      </c>
      <c r="C38" s="2" t="inlineStr">
        <is>
          <t>Premium</t>
        </is>
      </c>
      <c r="D38" s="18" t="n">
        <v>10</v>
      </c>
      <c r="E38" s="18" t="n">
        <v>1</v>
      </c>
      <c r="F38" s="18" t="n">
        <v>50</v>
      </c>
      <c r="G38" s="19" t="n">
        <v>1</v>
      </c>
      <c r="H38" s="20">
        <f>(Assumptions!$B$5*$G38*$D38+Assumptions!$C$5*$G38*$F38)/1000000</f>
        <v/>
      </c>
      <c r="I38" s="4">
        <f>(Assumptions!$B$6*$G38*$D38+Assumptions!$C$6*$G38*$F38)/1000000</f>
        <v/>
      </c>
      <c r="J38" s="20">
        <f>(Assumptions!$B$7*$G38*$D38+Assumptions!$C$7*$G38*$F38)/1000000</f>
        <v/>
      </c>
      <c r="K38" s="21">
        <f>$I38*Assumptions!$B$10</f>
        <v/>
      </c>
      <c r="L38" s="21">
        <f>$I38*Assumptions!$B$11</f>
        <v/>
      </c>
      <c r="M38" s="21">
        <f>$I38*Assumptions!$B$12</f>
        <v/>
      </c>
      <c r="N38" s="22">
        <f>$I38/$I$35</f>
        <v/>
      </c>
      <c r="O38" s="2" t="inlineStr">
        <is>
          <t>-</t>
        </is>
      </c>
      <c r="P38" s="9" t="inlineStr">
        <is>
          <t>No - add id (provider exists)</t>
        </is>
      </c>
      <c r="Q38" s="9" t="inlineStr"/>
      <c r="R38" s="2" t="inlineStr">
        <is>
          <t>https://developers.openai.com/api/docs/pricing</t>
        </is>
      </c>
    </row>
  </sheetData>
  <autoFilter ref="A1:R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2026-09-22T06:44:31Z</dcterms:created>
  <dcterms:modified xsi:type="dcterms:W3CDTF">2026-09-22T06:44:31Z</dcterms:modified>
</cp:coreProperties>
</file>